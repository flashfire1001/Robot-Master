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ujiaming\Desktop\"/>
    </mc:Choice>
  </mc:AlternateContent>
  <xr:revisionPtr revIDLastSave="0" documentId="13_ncr:1_{7D40DDBC-2A03-42A7-8D20-2F707D1DB738}" xr6:coauthVersionLast="47" xr6:coauthVersionMax="47" xr10:uidLastSave="{00000000-0000-0000-0000-000000000000}"/>
  <bookViews>
    <workbookView minimized="1" xWindow="3780" yWindow="2380" windowWidth="15360" windowHeight="8350" xr2:uid="{C9639538-34DC-41E1-87C9-DA55789EA681}"/>
  </bookViews>
  <sheets>
    <sheet name="PIDtry1" sheetId="1" r:id="rId1"/>
    <sheet name="pidtry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" l="1"/>
  <c r="F10" i="2"/>
  <c r="B10" i="1"/>
  <c r="F10" i="1"/>
  <c r="E11" i="1"/>
  <c r="G10" i="2" l="1"/>
  <c r="B10" i="2" s="1"/>
  <c r="C10" i="1"/>
  <c r="D11" i="1" s="1"/>
  <c r="C10" i="2" l="1"/>
  <c r="D11" i="2" s="1"/>
  <c r="E12" i="1"/>
  <c r="F11" i="1"/>
  <c r="B11" i="1" s="1"/>
  <c r="C11" i="1" s="1"/>
  <c r="E12" i="2" l="1"/>
  <c r="F11" i="2"/>
  <c r="G11" i="2" s="1"/>
  <c r="B11" i="2" s="1"/>
  <c r="C11" i="2" s="1"/>
  <c r="D12" i="2" s="1"/>
  <c r="D12" i="1"/>
  <c r="F12" i="2" l="1"/>
  <c r="G12" i="2" s="1"/>
  <c r="B12" i="2" s="1"/>
  <c r="C12" i="2" s="1"/>
  <c r="E13" i="2"/>
  <c r="F12" i="1"/>
  <c r="B12" i="1" s="1"/>
  <c r="C12" i="1" s="1"/>
  <c r="D13" i="1" s="1"/>
  <c r="E13" i="1"/>
  <c r="D13" i="2" l="1"/>
  <c r="F13" i="1"/>
  <c r="B13" i="1" s="1"/>
  <c r="C13" i="1" s="1"/>
  <c r="D14" i="1" s="1"/>
  <c r="E14" i="1"/>
  <c r="E14" i="2" l="1"/>
  <c r="F13" i="2"/>
  <c r="E15" i="1"/>
  <c r="F14" i="1"/>
  <c r="B14" i="1" s="1"/>
  <c r="C14" i="1" s="1"/>
  <c r="D15" i="1" s="1"/>
  <c r="G13" i="2" l="1"/>
  <c r="B13" i="2" s="1"/>
  <c r="F15" i="1"/>
  <c r="B15" i="1" s="1"/>
  <c r="C15" i="1" s="1"/>
  <c r="D16" i="1" s="1"/>
  <c r="E16" i="1"/>
  <c r="C13" i="2" l="1"/>
  <c r="D14" i="2" s="1"/>
  <c r="F16" i="1"/>
  <c r="B16" i="1" s="1"/>
  <c r="C16" i="1" s="1"/>
  <c r="D17" i="1" s="1"/>
  <c r="E17" i="1"/>
  <c r="F14" i="2" l="1"/>
  <c r="E15" i="2"/>
  <c r="E18" i="1"/>
  <c r="F17" i="1"/>
  <c r="B17" i="1" s="1"/>
  <c r="C17" i="1" s="1"/>
  <c r="D18" i="1" s="1"/>
  <c r="G14" i="2" l="1"/>
  <c r="B14" i="2" s="1"/>
  <c r="E19" i="1"/>
  <c r="F18" i="1"/>
  <c r="B18" i="1" s="1"/>
  <c r="C18" i="1" s="1"/>
  <c r="D19" i="1" s="1"/>
  <c r="C14" i="2" l="1"/>
  <c r="D15" i="2" s="1"/>
  <c r="E20" i="1"/>
  <c r="F19" i="1"/>
  <c r="B19" i="1" s="1"/>
  <c r="C19" i="1" s="1"/>
  <c r="D20" i="1" s="1"/>
  <c r="F15" i="2" l="1"/>
  <c r="E16" i="2"/>
  <c r="E21" i="1"/>
  <c r="F20" i="1"/>
  <c r="B20" i="1" s="1"/>
  <c r="C20" i="1" s="1"/>
  <c r="D21" i="1" s="1"/>
  <c r="G15" i="2" l="1"/>
  <c r="E22" i="1"/>
  <c r="F21" i="1"/>
  <c r="B21" i="1" s="1"/>
  <c r="C21" i="1" s="1"/>
  <c r="D22" i="1" s="1"/>
  <c r="B15" i="2" l="1"/>
  <c r="E23" i="1"/>
  <c r="F22" i="1"/>
  <c r="B22" i="1" s="1"/>
  <c r="C22" i="1" s="1"/>
  <c r="D23" i="1" s="1"/>
  <c r="C15" i="2" l="1"/>
  <c r="D16" i="2" s="1"/>
  <c r="E24" i="1"/>
  <c r="F23" i="1"/>
  <c r="B23" i="1" s="1"/>
  <c r="C23" i="1" s="1"/>
  <c r="D24" i="1" s="1"/>
  <c r="F16" i="2" l="1"/>
  <c r="G16" i="2" s="1"/>
  <c r="B16" i="2" s="1"/>
  <c r="C16" i="2" s="1"/>
  <c r="E17" i="2"/>
  <c r="F24" i="1"/>
  <c r="B24" i="1" s="1"/>
  <c r="C24" i="1" s="1"/>
  <c r="D25" i="1" s="1"/>
  <c r="E25" i="1"/>
  <c r="D17" i="2" l="1"/>
  <c r="F25" i="1"/>
  <c r="B25" i="1" s="1"/>
  <c r="C25" i="1" s="1"/>
  <c r="D26" i="1" s="1"/>
  <c r="E26" i="1"/>
  <c r="F17" i="2" l="1"/>
  <c r="E18" i="2"/>
  <c r="E27" i="1"/>
  <c r="F26" i="1"/>
  <c r="B26" i="1" s="1"/>
  <c r="C26" i="1" s="1"/>
  <c r="D27" i="1" s="1"/>
  <c r="G17" i="2" l="1"/>
  <c r="B17" i="2" s="1"/>
  <c r="F27" i="1"/>
  <c r="B27" i="1" s="1"/>
  <c r="C27" i="1" s="1"/>
  <c r="D28" i="1" s="1"/>
  <c r="E28" i="1"/>
  <c r="C17" i="2" l="1"/>
  <c r="D18" i="2" s="1"/>
  <c r="E29" i="1"/>
  <c r="F28" i="1"/>
  <c r="B28" i="1" s="1"/>
  <c r="C28" i="1" s="1"/>
  <c r="D29" i="1" s="1"/>
  <c r="F18" i="2" l="1"/>
  <c r="E19" i="2"/>
  <c r="F29" i="1"/>
  <c r="B29" i="1" s="1"/>
  <c r="C29" i="1" s="1"/>
  <c r="D30" i="1" s="1"/>
  <c r="E30" i="1"/>
  <c r="G18" i="2" l="1"/>
  <c r="B18" i="2" s="1"/>
  <c r="F30" i="1"/>
  <c r="B30" i="1" s="1"/>
  <c r="C30" i="1" s="1"/>
  <c r="D31" i="1" s="1"/>
  <c r="E31" i="1"/>
  <c r="C18" i="2" l="1"/>
  <c r="D19" i="2" s="1"/>
  <c r="F31" i="1"/>
  <c r="B31" i="1" s="1"/>
  <c r="C31" i="1" s="1"/>
  <c r="D32" i="1" s="1"/>
  <c r="E32" i="1"/>
  <c r="F19" i="2" l="1"/>
  <c r="G19" i="2" s="1"/>
  <c r="E20" i="2"/>
  <c r="F32" i="1"/>
  <c r="B32" i="1" s="1"/>
  <c r="C32" i="1" s="1"/>
  <c r="D33" i="1" s="1"/>
  <c r="E33" i="1"/>
  <c r="B19" i="2" l="1"/>
  <c r="F33" i="1"/>
  <c r="B33" i="1" s="1"/>
  <c r="C33" i="1" s="1"/>
  <c r="D34" i="1" s="1"/>
  <c r="E34" i="1"/>
  <c r="C19" i="2" l="1"/>
  <c r="D20" i="2" s="1"/>
  <c r="E35" i="1"/>
  <c r="F34" i="1"/>
  <c r="B34" i="1" s="1"/>
  <c r="C34" i="1" s="1"/>
  <c r="D35" i="1" s="1"/>
  <c r="F20" i="2" l="1"/>
  <c r="E21" i="2"/>
  <c r="F35" i="1"/>
  <c r="B35" i="1" s="1"/>
  <c r="C35" i="1" s="1"/>
  <c r="D36" i="1" s="1"/>
  <c r="E36" i="1"/>
  <c r="G20" i="2" l="1"/>
  <c r="F36" i="1"/>
  <c r="B36" i="1" s="1"/>
  <c r="C36" i="1" s="1"/>
  <c r="D37" i="1" s="1"/>
  <c r="E37" i="1"/>
  <c r="B20" i="2" l="1"/>
  <c r="E38" i="1"/>
  <c r="F37" i="1"/>
  <c r="B37" i="1" s="1"/>
  <c r="C37" i="1" s="1"/>
  <c r="D38" i="1" s="1"/>
  <c r="C20" i="2" l="1"/>
  <c r="D21" i="2" s="1"/>
  <c r="F38" i="1"/>
  <c r="B38" i="1" s="1"/>
  <c r="C38" i="1" s="1"/>
  <c r="D39" i="1" s="1"/>
  <c r="E39" i="1"/>
  <c r="F21" i="2" l="1"/>
  <c r="E22" i="2"/>
  <c r="E40" i="1"/>
  <c r="F39" i="1"/>
  <c r="B39" i="1" s="1"/>
  <c r="C39" i="1" s="1"/>
  <c r="D40" i="1" s="1"/>
  <c r="G21" i="2" l="1"/>
  <c r="F40" i="1"/>
  <c r="B40" i="1" s="1"/>
  <c r="C40" i="1" s="1"/>
  <c r="D41" i="1" s="1"/>
  <c r="E41" i="1"/>
  <c r="B21" i="2" l="1"/>
  <c r="F41" i="1"/>
  <c r="B41" i="1" s="1"/>
  <c r="C41" i="1" s="1"/>
  <c r="D42" i="1" s="1"/>
  <c r="E42" i="1"/>
  <c r="C21" i="2" l="1"/>
  <c r="D22" i="2" s="1"/>
  <c r="E43" i="1"/>
  <c r="F42" i="1"/>
  <c r="B42" i="1" s="1"/>
  <c r="C42" i="1" s="1"/>
  <c r="D43" i="1" s="1"/>
  <c r="F22" i="2" l="1"/>
  <c r="E23" i="2"/>
  <c r="F43" i="1"/>
  <c r="B43" i="1" s="1"/>
  <c r="C43" i="1" s="1"/>
  <c r="D44" i="1" s="1"/>
  <c r="E44" i="1"/>
  <c r="G22" i="2" l="1"/>
  <c r="F44" i="1"/>
  <c r="B44" i="1" s="1"/>
  <c r="C44" i="1" s="1"/>
  <c r="D45" i="1" s="1"/>
  <c r="E45" i="1"/>
  <c r="B22" i="2" l="1"/>
  <c r="E46" i="1"/>
  <c r="F45" i="1"/>
  <c r="B45" i="1" s="1"/>
  <c r="C45" i="1" s="1"/>
  <c r="D46" i="1" s="1"/>
  <c r="C22" i="2" l="1"/>
  <c r="D23" i="2" s="1"/>
  <c r="F46" i="1"/>
  <c r="B46" i="1" s="1"/>
  <c r="C46" i="1" s="1"/>
  <c r="D47" i="1" s="1"/>
  <c r="E47" i="1"/>
  <c r="F23" i="2" l="1"/>
  <c r="E24" i="2"/>
  <c r="F47" i="1"/>
  <c r="B47" i="1" s="1"/>
  <c r="C47" i="1" s="1"/>
  <c r="D48" i="1" s="1"/>
  <c r="E48" i="1"/>
  <c r="G23" i="2" l="1"/>
  <c r="E49" i="1"/>
  <c r="F48" i="1"/>
  <c r="B48" i="1" s="1"/>
  <c r="C48" i="1" s="1"/>
  <c r="D49" i="1" s="1"/>
  <c r="B23" i="2" l="1"/>
  <c r="E50" i="1"/>
  <c r="F49" i="1"/>
  <c r="B49" i="1" s="1"/>
  <c r="C49" i="1" s="1"/>
  <c r="D50" i="1" s="1"/>
  <c r="C23" i="2" l="1"/>
  <c r="D24" i="2" s="1"/>
  <c r="E51" i="1"/>
  <c r="F50" i="1"/>
  <c r="B50" i="1" s="1"/>
  <c r="C50" i="1" s="1"/>
  <c r="D51" i="1" s="1"/>
  <c r="F24" i="2" l="1"/>
  <c r="E25" i="2"/>
  <c r="E52" i="1"/>
  <c r="F51" i="1"/>
  <c r="B51" i="1" s="1"/>
  <c r="C51" i="1" s="1"/>
  <c r="D52" i="1" s="1"/>
  <c r="G24" i="2" l="1"/>
  <c r="F52" i="1"/>
  <c r="B52" i="1" s="1"/>
  <c r="C52" i="1" s="1"/>
  <c r="D53" i="1" s="1"/>
  <c r="E53" i="1"/>
  <c r="B24" i="2" l="1"/>
  <c r="E54" i="1"/>
  <c r="F53" i="1"/>
  <c r="B53" i="1" s="1"/>
  <c r="C53" i="1" s="1"/>
  <c r="D54" i="1" s="1"/>
  <c r="C24" i="2" l="1"/>
  <c r="D25" i="2" s="1"/>
  <c r="E55" i="1"/>
  <c r="F54" i="1"/>
  <c r="B54" i="1" s="1"/>
  <c r="C54" i="1" s="1"/>
  <c r="D55" i="1" s="1"/>
  <c r="F25" i="2" l="1"/>
  <c r="E26" i="2"/>
  <c r="E56" i="1"/>
  <c r="F55" i="1"/>
  <c r="B55" i="1" s="1"/>
  <c r="C55" i="1" s="1"/>
  <c r="D56" i="1" s="1"/>
  <c r="G25" i="2" l="1"/>
  <c r="B25" i="2" s="1"/>
  <c r="F56" i="1"/>
  <c r="B56" i="1" s="1"/>
  <c r="C56" i="1" s="1"/>
  <c r="D57" i="1" s="1"/>
  <c r="E57" i="1"/>
  <c r="C25" i="2" l="1"/>
  <c r="D26" i="2" s="1"/>
  <c r="E58" i="1"/>
  <c r="F57" i="1"/>
  <c r="B57" i="1" s="1"/>
  <c r="C57" i="1" s="1"/>
  <c r="D58" i="1" s="1"/>
  <c r="F26" i="2" l="1"/>
  <c r="E27" i="2"/>
  <c r="E59" i="1"/>
  <c r="F58" i="1"/>
  <c r="B58" i="1" s="1"/>
  <c r="C58" i="1" s="1"/>
  <c r="D59" i="1" s="1"/>
  <c r="G26" i="2" l="1"/>
  <c r="B26" i="2" s="1"/>
  <c r="F59" i="1"/>
  <c r="B59" i="1" s="1"/>
  <c r="C59" i="1" s="1"/>
  <c r="D60" i="1" s="1"/>
  <c r="E60" i="1"/>
  <c r="C26" i="2" l="1"/>
  <c r="D27" i="2" s="1"/>
  <c r="F60" i="1"/>
  <c r="B60" i="1" s="1"/>
  <c r="C60" i="1" s="1"/>
  <c r="D61" i="1" s="1"/>
  <c r="E61" i="1"/>
  <c r="F27" i="2" l="1"/>
  <c r="E28" i="2"/>
  <c r="F61" i="1"/>
  <c r="B61" i="1" s="1"/>
  <c r="C61" i="1" s="1"/>
  <c r="D62" i="1" s="1"/>
  <c r="E62" i="1"/>
  <c r="G27" i="2" l="1"/>
  <c r="F62" i="1"/>
  <c r="B62" i="1" s="1"/>
  <c r="C62" i="1" s="1"/>
  <c r="D63" i="1" s="1"/>
  <c r="E63" i="1"/>
  <c r="B27" i="2" l="1"/>
  <c r="E64" i="1"/>
  <c r="F63" i="1"/>
  <c r="B63" i="1" s="1"/>
  <c r="C63" i="1" s="1"/>
  <c r="D64" i="1" s="1"/>
  <c r="C27" i="2" l="1"/>
  <c r="D28" i="2" s="1"/>
  <c r="F64" i="1"/>
  <c r="B64" i="1" s="1"/>
  <c r="C64" i="1" s="1"/>
  <c r="D65" i="1" s="1"/>
  <c r="E65" i="1"/>
  <c r="F28" i="2" l="1"/>
  <c r="E29" i="2"/>
  <c r="F65" i="1"/>
  <c r="B65" i="1" s="1"/>
  <c r="C65" i="1" s="1"/>
  <c r="D66" i="1" s="1"/>
  <c r="E66" i="1"/>
  <c r="G28" i="2" l="1"/>
  <c r="E67" i="1"/>
  <c r="F66" i="1"/>
  <c r="B66" i="1" s="1"/>
  <c r="C66" i="1" s="1"/>
  <c r="D67" i="1" s="1"/>
  <c r="B28" i="2" l="1"/>
  <c r="F67" i="1"/>
  <c r="B67" i="1" s="1"/>
  <c r="C67" i="1" s="1"/>
  <c r="D68" i="1" s="1"/>
  <c r="E68" i="1"/>
  <c r="C28" i="2" l="1"/>
  <c r="D29" i="2" s="1"/>
  <c r="F68" i="1"/>
  <c r="B68" i="1" s="1"/>
  <c r="C68" i="1" s="1"/>
  <c r="D69" i="1" s="1"/>
  <c r="E69" i="1"/>
  <c r="F29" i="2" l="1"/>
  <c r="E30" i="2"/>
  <c r="E70" i="1"/>
  <c r="F69" i="1"/>
  <c r="B69" i="1" s="1"/>
  <c r="C69" i="1" s="1"/>
  <c r="D70" i="1" s="1"/>
  <c r="G29" i="2" l="1"/>
  <c r="F70" i="1"/>
  <c r="B70" i="1" s="1"/>
  <c r="C70" i="1" s="1"/>
  <c r="D71" i="1" s="1"/>
  <c r="E71" i="1"/>
  <c r="B29" i="2" l="1"/>
  <c r="F71" i="1"/>
  <c r="B71" i="1" s="1"/>
  <c r="C71" i="1" s="1"/>
  <c r="D72" i="1" s="1"/>
  <c r="E72" i="1"/>
  <c r="C29" i="2" l="1"/>
  <c r="D30" i="2" s="1"/>
  <c r="E73" i="1"/>
  <c r="F72" i="1"/>
  <c r="B72" i="1" s="1"/>
  <c r="C72" i="1" s="1"/>
  <c r="D73" i="1" s="1"/>
  <c r="F30" i="2" l="1"/>
  <c r="E31" i="2"/>
  <c r="F73" i="1"/>
  <c r="B73" i="1" s="1"/>
  <c r="C73" i="1" s="1"/>
  <c r="D74" i="1" s="1"/>
  <c r="E74" i="1"/>
  <c r="G30" i="2" l="1"/>
  <c r="E75" i="1"/>
  <c r="F74" i="1"/>
  <c r="B74" i="1" s="1"/>
  <c r="C74" i="1" s="1"/>
  <c r="D75" i="1" s="1"/>
  <c r="B30" i="2" l="1"/>
  <c r="E76" i="1"/>
  <c r="F75" i="1"/>
  <c r="B75" i="1" s="1"/>
  <c r="C75" i="1" s="1"/>
  <c r="D76" i="1" s="1"/>
  <c r="C30" i="2" l="1"/>
  <c r="D31" i="2" s="1"/>
  <c r="E77" i="1"/>
  <c r="F76" i="1"/>
  <c r="B76" i="1" s="1"/>
  <c r="C76" i="1" s="1"/>
  <c r="D77" i="1" s="1"/>
  <c r="F31" i="2" l="1"/>
  <c r="E32" i="2"/>
  <c r="E78" i="1"/>
  <c r="F77" i="1"/>
  <c r="B77" i="1" s="1"/>
  <c r="C77" i="1" s="1"/>
  <c r="D78" i="1" s="1"/>
  <c r="G31" i="2" l="1"/>
  <c r="F78" i="1"/>
  <c r="B78" i="1" s="1"/>
  <c r="C78" i="1" s="1"/>
  <c r="D79" i="1" s="1"/>
  <c r="E79" i="1"/>
  <c r="B31" i="2" l="1"/>
  <c r="F79" i="1"/>
  <c r="B79" i="1" s="1"/>
  <c r="C79" i="1" s="1"/>
  <c r="D80" i="1" s="1"/>
  <c r="E80" i="1"/>
  <c r="C31" i="2" l="1"/>
  <c r="D32" i="2" s="1"/>
  <c r="E81" i="1"/>
  <c r="F80" i="1"/>
  <c r="B80" i="1" s="1"/>
  <c r="C80" i="1" s="1"/>
  <c r="D81" i="1" s="1"/>
  <c r="F32" i="2" l="1"/>
  <c r="E33" i="2"/>
  <c r="E82" i="1"/>
  <c r="F81" i="1"/>
  <c r="B81" i="1" s="1"/>
  <c r="C81" i="1" s="1"/>
  <c r="D82" i="1" s="1"/>
  <c r="G32" i="2" l="1"/>
  <c r="F82" i="1"/>
  <c r="B82" i="1" s="1"/>
  <c r="C82" i="1" s="1"/>
  <c r="D83" i="1" s="1"/>
  <c r="E83" i="1"/>
  <c r="B32" i="2" l="1"/>
  <c r="E84" i="1"/>
  <c r="F83" i="1"/>
  <c r="B83" i="1" s="1"/>
  <c r="C83" i="1" s="1"/>
  <c r="D84" i="1" s="1"/>
  <c r="C32" i="2" l="1"/>
  <c r="D33" i="2" s="1"/>
  <c r="E85" i="1"/>
  <c r="F84" i="1"/>
  <c r="B84" i="1" s="1"/>
  <c r="C84" i="1" s="1"/>
  <c r="D85" i="1" s="1"/>
  <c r="F33" i="2" l="1"/>
  <c r="E34" i="2"/>
  <c r="E86" i="1"/>
  <c r="F85" i="1"/>
  <c r="B85" i="1" s="1"/>
  <c r="C85" i="1" s="1"/>
  <c r="D86" i="1" s="1"/>
  <c r="G33" i="2" l="1"/>
  <c r="F86" i="1"/>
  <c r="B86" i="1" s="1"/>
  <c r="C86" i="1" s="1"/>
  <c r="D87" i="1" s="1"/>
  <c r="E87" i="1"/>
  <c r="B33" i="2" l="1"/>
  <c r="E88" i="1"/>
  <c r="F87" i="1"/>
  <c r="B87" i="1" s="1"/>
  <c r="C87" i="1" s="1"/>
  <c r="D88" i="1" s="1"/>
  <c r="C33" i="2" l="1"/>
  <c r="D34" i="2" s="1"/>
  <c r="F88" i="1"/>
  <c r="B88" i="1" s="1"/>
  <c r="C88" i="1" s="1"/>
  <c r="D89" i="1" s="1"/>
  <c r="E89" i="1"/>
  <c r="F34" i="2" l="1"/>
  <c r="E35" i="2"/>
  <c r="F89" i="1"/>
  <c r="B89" i="1" s="1"/>
  <c r="C89" i="1" s="1"/>
  <c r="D90" i="1" s="1"/>
  <c r="E90" i="1"/>
  <c r="G34" i="2" l="1"/>
  <c r="E91" i="1"/>
  <c r="F90" i="1"/>
  <c r="B90" i="1" s="1"/>
  <c r="C90" i="1" s="1"/>
  <c r="D91" i="1" s="1"/>
  <c r="B34" i="2" l="1"/>
  <c r="F91" i="1"/>
  <c r="B91" i="1" s="1"/>
  <c r="C91" i="1" s="1"/>
  <c r="D92" i="1" s="1"/>
  <c r="E92" i="1"/>
  <c r="C34" i="2" l="1"/>
  <c r="D35" i="2" s="1"/>
  <c r="F92" i="1"/>
  <c r="B92" i="1" s="1"/>
  <c r="C92" i="1" s="1"/>
  <c r="D93" i="1" s="1"/>
  <c r="E93" i="1"/>
  <c r="F35" i="2" l="1"/>
  <c r="E36" i="2"/>
  <c r="F93" i="1"/>
  <c r="B93" i="1" s="1"/>
  <c r="C93" i="1" s="1"/>
  <c r="D94" i="1" s="1"/>
  <c r="E94" i="1"/>
  <c r="G35" i="2" l="1"/>
  <c r="F94" i="1"/>
  <c r="B94" i="1" s="1"/>
  <c r="C94" i="1" s="1"/>
  <c r="D95" i="1" s="1"/>
  <c r="E95" i="1"/>
  <c r="B35" i="2" l="1"/>
  <c r="F95" i="1"/>
  <c r="B95" i="1" s="1"/>
  <c r="C95" i="1" s="1"/>
  <c r="D96" i="1" s="1"/>
  <c r="E96" i="1"/>
  <c r="C35" i="2" l="1"/>
  <c r="D36" i="2" s="1"/>
  <c r="E97" i="1"/>
  <c r="F96" i="1"/>
  <c r="B96" i="1" s="1"/>
  <c r="C96" i="1" s="1"/>
  <c r="D97" i="1" s="1"/>
  <c r="F36" i="2" l="1"/>
  <c r="G36" i="2" s="1"/>
  <c r="B36" i="2" s="1"/>
  <c r="C36" i="2" s="1"/>
  <c r="E37" i="2"/>
  <c r="F97" i="1"/>
  <c r="B97" i="1" s="1"/>
  <c r="C97" i="1" s="1"/>
  <c r="D98" i="1" s="1"/>
  <c r="E98" i="1"/>
  <c r="D37" i="2" l="1"/>
  <c r="F98" i="1"/>
  <c r="B98" i="1" s="1"/>
  <c r="C98" i="1" s="1"/>
  <c r="D99" i="1" s="1"/>
  <c r="E99" i="1"/>
  <c r="F37" i="2" l="1"/>
  <c r="E38" i="2"/>
  <c r="E100" i="1"/>
  <c r="F99" i="1"/>
  <c r="B99" i="1" s="1"/>
  <c r="C99" i="1" s="1"/>
  <c r="D100" i="1" s="1"/>
  <c r="G37" i="2" l="1"/>
  <c r="F100" i="1"/>
  <c r="B100" i="1" s="1"/>
  <c r="C100" i="1" s="1"/>
  <c r="D101" i="1" s="1"/>
  <c r="E101" i="1"/>
  <c r="B37" i="2" l="1"/>
  <c r="F101" i="1"/>
  <c r="B101" i="1" s="1"/>
  <c r="C101" i="1" s="1"/>
  <c r="D102" i="1" s="1"/>
  <c r="E102" i="1"/>
  <c r="C37" i="2" l="1"/>
  <c r="D38" i="2" s="1"/>
  <c r="E103" i="1"/>
  <c r="F102" i="1"/>
  <c r="B102" i="1" s="1"/>
  <c r="C102" i="1" s="1"/>
  <c r="D103" i="1" s="1"/>
  <c r="F38" i="2" l="1"/>
  <c r="E39" i="2"/>
  <c r="F103" i="1"/>
  <c r="B103" i="1" s="1"/>
  <c r="C103" i="1" s="1"/>
  <c r="D104" i="1" s="1"/>
  <c r="E104" i="1"/>
  <c r="G38" i="2" l="1"/>
  <c r="F104" i="1"/>
  <c r="B104" i="1" s="1"/>
  <c r="C104" i="1" s="1"/>
  <c r="D105" i="1" s="1"/>
  <c r="E105" i="1"/>
  <c r="B38" i="2" l="1"/>
  <c r="F105" i="1"/>
  <c r="B105" i="1" s="1"/>
  <c r="C105" i="1" s="1"/>
  <c r="D106" i="1" s="1"/>
  <c r="E106" i="1"/>
  <c r="C38" i="2" l="1"/>
  <c r="D39" i="2" s="1"/>
  <c r="E107" i="1"/>
  <c r="F106" i="1"/>
  <c r="B106" i="1" s="1"/>
  <c r="C106" i="1" s="1"/>
  <c r="D107" i="1" s="1"/>
  <c r="F39" i="2" l="1"/>
  <c r="E40" i="2"/>
  <c r="F107" i="1"/>
  <c r="B107" i="1" s="1"/>
  <c r="C107" i="1" s="1"/>
  <c r="D108" i="1" s="1"/>
  <c r="E108" i="1"/>
  <c r="G39" i="2" l="1"/>
  <c r="F108" i="1"/>
  <c r="B108" i="1" s="1"/>
  <c r="C108" i="1" s="1"/>
  <c r="D109" i="1" s="1"/>
  <c r="E109" i="1"/>
  <c r="B39" i="2" l="1"/>
  <c r="E110" i="1"/>
  <c r="F109" i="1"/>
  <c r="B109" i="1" s="1"/>
  <c r="C109" i="1" s="1"/>
  <c r="D110" i="1" s="1"/>
  <c r="C39" i="2" l="1"/>
  <c r="D40" i="2" s="1"/>
  <c r="F110" i="1"/>
  <c r="B110" i="1" s="1"/>
  <c r="C110" i="1" s="1"/>
  <c r="F40" i="2" l="1"/>
  <c r="E41" i="2"/>
  <c r="G40" i="2" l="1"/>
  <c r="B40" i="2" l="1"/>
  <c r="C40" i="2" l="1"/>
  <c r="D41" i="2" s="1"/>
  <c r="E42" i="2" l="1"/>
  <c r="F41" i="2"/>
  <c r="G41" i="2" l="1"/>
  <c r="B41" i="2" l="1"/>
  <c r="C41" i="2" l="1"/>
  <c r="D42" i="2" s="1"/>
  <c r="F42" i="2" l="1"/>
  <c r="E43" i="2"/>
  <c r="G42" i="2" l="1"/>
  <c r="B42" i="2" s="1"/>
  <c r="C42" i="2" l="1"/>
  <c r="D43" i="2" s="1"/>
  <c r="F43" i="2" l="1"/>
  <c r="E44" i="2"/>
  <c r="G43" i="2" l="1"/>
  <c r="B43" i="2" l="1"/>
  <c r="C43" i="2" l="1"/>
  <c r="D44" i="2" s="1"/>
  <c r="F44" i="2" l="1"/>
  <c r="E45" i="2"/>
  <c r="G44" i="2" l="1"/>
  <c r="B44" i="2" l="1"/>
  <c r="C44" i="2" l="1"/>
  <c r="D45" i="2" s="1"/>
  <c r="F45" i="2" l="1"/>
  <c r="E46" i="2"/>
  <c r="G45" i="2" l="1"/>
  <c r="B45" i="2" s="1"/>
  <c r="C45" i="2" l="1"/>
  <c r="D46" i="2" s="1"/>
  <c r="F46" i="2" l="1"/>
  <c r="E47" i="2"/>
  <c r="G46" i="2" l="1"/>
  <c r="B46" i="2" l="1"/>
  <c r="C46" i="2" l="1"/>
  <c r="D47" i="2" s="1"/>
  <c r="F47" i="2" l="1"/>
  <c r="E48" i="2"/>
  <c r="G47" i="2" l="1"/>
  <c r="B47" i="2" s="1"/>
  <c r="C47" i="2" l="1"/>
  <c r="D48" i="2" s="1"/>
  <c r="F48" i="2" l="1"/>
  <c r="E49" i="2"/>
  <c r="G48" i="2" l="1"/>
  <c r="B48" i="2" l="1"/>
  <c r="C48" i="2" l="1"/>
  <c r="D49" i="2" s="1"/>
  <c r="F49" i="2" l="1"/>
  <c r="E50" i="2"/>
  <c r="G49" i="2" l="1"/>
  <c r="B49" i="2" l="1"/>
  <c r="C49" i="2" l="1"/>
  <c r="D50" i="2" s="1"/>
  <c r="F50" i="2" l="1"/>
  <c r="E51" i="2"/>
  <c r="G50" i="2" l="1"/>
  <c r="B50" i="2" l="1"/>
  <c r="C50" i="2" l="1"/>
  <c r="D51" i="2" s="1"/>
  <c r="F51" i="2" l="1"/>
  <c r="E52" i="2"/>
  <c r="G51" i="2" l="1"/>
  <c r="B51" i="2" s="1"/>
  <c r="C51" i="2" l="1"/>
  <c r="D52" i="2" s="1"/>
  <c r="F52" i="2" l="1"/>
  <c r="E53" i="2"/>
  <c r="G52" i="2" l="1"/>
  <c r="B52" i="2" l="1"/>
  <c r="C52" i="2" l="1"/>
  <c r="D53" i="2" s="1"/>
  <c r="F53" i="2" l="1"/>
  <c r="E54" i="2"/>
  <c r="G53" i="2" l="1"/>
  <c r="B53" i="2" l="1"/>
  <c r="C53" i="2" l="1"/>
  <c r="D54" i="2" s="1"/>
  <c r="F54" i="2" l="1"/>
  <c r="E55" i="2"/>
  <c r="G54" i="2" l="1"/>
  <c r="B54" i="2" l="1"/>
  <c r="C54" i="2" s="1"/>
  <c r="D55" i="2" s="1"/>
  <c r="F55" i="2" l="1"/>
  <c r="E56" i="2"/>
  <c r="G55" i="2" l="1"/>
  <c r="B55" i="2" l="1"/>
  <c r="C55" i="2" s="1"/>
  <c r="D56" i="2" s="1"/>
  <c r="F56" i="2" l="1"/>
  <c r="E57" i="2"/>
  <c r="G56" i="2" l="1"/>
  <c r="B56" i="2" l="1"/>
  <c r="C56" i="2" s="1"/>
  <c r="D57" i="2" s="1"/>
  <c r="F57" i="2" l="1"/>
  <c r="E58" i="2"/>
  <c r="G57" i="2" l="1"/>
  <c r="B57" i="2" l="1"/>
  <c r="C57" i="2" s="1"/>
  <c r="D58" i="2" s="1"/>
  <c r="F58" i="2" l="1"/>
  <c r="E59" i="2"/>
  <c r="G58" i="2" l="1"/>
  <c r="B58" i="2" l="1"/>
  <c r="C58" i="2" s="1"/>
  <c r="D59" i="2" s="1"/>
  <c r="F59" i="2" l="1"/>
  <c r="E60" i="2"/>
  <c r="G59" i="2" l="1"/>
  <c r="B59" i="2" l="1"/>
  <c r="C59" i="2" s="1"/>
  <c r="D60" i="2" s="1"/>
  <c r="F60" i="2" l="1"/>
  <c r="E61" i="2"/>
  <c r="G60" i="2" l="1"/>
  <c r="B60" i="2" l="1"/>
  <c r="C60" i="2" s="1"/>
  <c r="D61" i="2" s="1"/>
  <c r="F61" i="2" l="1"/>
  <c r="E62" i="2"/>
  <c r="G61" i="2" l="1"/>
  <c r="B61" i="2" l="1"/>
  <c r="C61" i="2" s="1"/>
  <c r="D62" i="2" s="1"/>
  <c r="F62" i="2" l="1"/>
  <c r="E63" i="2"/>
  <c r="G62" i="2" l="1"/>
  <c r="B62" i="2" s="1"/>
  <c r="C62" i="2" s="1"/>
  <c r="D63" i="2" s="1"/>
  <c r="F63" i="2" s="1"/>
  <c r="E64" i="2" l="1"/>
  <c r="G63" i="2"/>
  <c r="B63" i="2" s="1"/>
  <c r="C63" i="2" s="1"/>
  <c r="D64" i="2" s="1"/>
  <c r="F64" i="2" s="1"/>
  <c r="G64" i="2" l="1"/>
  <c r="E65" i="2"/>
  <c r="B64" i="2" l="1"/>
  <c r="C64" i="2" s="1"/>
  <c r="D65" i="2" s="1"/>
  <c r="F65" i="2" s="1"/>
  <c r="G65" i="2" s="1"/>
  <c r="B65" i="2" l="1"/>
  <c r="C65" i="2" s="1"/>
  <c r="D66" i="2" s="1"/>
  <c r="F66" i="2" s="1"/>
  <c r="G66" i="2" s="1"/>
  <c r="E66" i="2"/>
  <c r="E67" i="2" l="1"/>
  <c r="B66" i="2"/>
  <c r="C66" i="2" s="1"/>
  <c r="D67" i="2" s="1"/>
  <c r="F67" i="2" s="1"/>
  <c r="E68" i="2" l="1"/>
  <c r="G67" i="2"/>
  <c r="B67" i="2" l="1"/>
  <c r="C67" i="2" s="1"/>
  <c r="D68" i="2" s="1"/>
  <c r="F68" i="2" s="1"/>
  <c r="E69" i="2" l="1"/>
  <c r="G68" i="2"/>
  <c r="B68" i="2" l="1"/>
  <c r="C68" i="2" s="1"/>
  <c r="D69" i="2" s="1"/>
  <c r="F69" i="2" s="1"/>
  <c r="E70" i="2" l="1"/>
  <c r="G69" i="2"/>
  <c r="B69" i="2" l="1"/>
  <c r="C69" i="2" s="1"/>
  <c r="D70" i="2" s="1"/>
  <c r="F70" i="2" s="1"/>
  <c r="E71" i="2" l="1"/>
  <c r="G70" i="2"/>
  <c r="B70" i="2" l="1"/>
  <c r="C70" i="2" s="1"/>
  <c r="D71" i="2" s="1"/>
  <c r="F71" i="2" s="1"/>
  <c r="E72" i="2" l="1"/>
  <c r="G71" i="2"/>
  <c r="B71" i="2" l="1"/>
  <c r="C71" i="2" s="1"/>
  <c r="D72" i="2" s="1"/>
  <c r="F72" i="2" s="1"/>
  <c r="G72" i="2" s="1"/>
  <c r="B72" i="2" l="1"/>
  <c r="C72" i="2" s="1"/>
  <c r="D73" i="2" s="1"/>
  <c r="F73" i="2" s="1"/>
  <c r="E73" i="2"/>
  <c r="E74" i="2" l="1"/>
  <c r="G73" i="2"/>
  <c r="B73" i="2" l="1"/>
  <c r="C73" i="2" s="1"/>
  <c r="D74" i="2" s="1"/>
  <c r="F74" i="2" l="1"/>
  <c r="E75" i="2"/>
  <c r="G74" i="2" l="1"/>
  <c r="B74" i="2" l="1"/>
  <c r="C74" i="2" s="1"/>
  <c r="D75" i="2" s="1"/>
  <c r="F75" i="2" l="1"/>
  <c r="E76" i="2"/>
  <c r="G75" i="2" l="1"/>
  <c r="B75" i="2" l="1"/>
  <c r="C75" i="2" s="1"/>
  <c r="D76" i="2" s="1"/>
  <c r="F76" i="2" l="1"/>
  <c r="E77" i="2"/>
  <c r="G76" i="2" l="1"/>
  <c r="B76" i="2" l="1"/>
  <c r="C76" i="2" s="1"/>
  <c r="D77" i="2" s="1"/>
  <c r="F77" i="2" l="1"/>
  <c r="E78" i="2"/>
  <c r="G77" i="2" l="1"/>
  <c r="B77" i="2" l="1"/>
  <c r="C77" i="2" s="1"/>
  <c r="D78" i="2" s="1"/>
  <c r="F78" i="2" l="1"/>
  <c r="E79" i="2"/>
  <c r="G78" i="2" l="1"/>
  <c r="B78" i="2" l="1"/>
  <c r="C78" i="2" s="1"/>
  <c r="D79" i="2" s="1"/>
  <c r="F79" i="2" l="1"/>
  <c r="E80" i="2"/>
  <c r="G79" i="2" l="1"/>
  <c r="B79" i="2" l="1"/>
  <c r="C79" i="2" s="1"/>
  <c r="D80" i="2" s="1"/>
  <c r="F80" i="2" l="1"/>
  <c r="E81" i="2"/>
  <c r="G80" i="2" l="1"/>
  <c r="B80" i="2" l="1"/>
  <c r="C80" i="2" s="1"/>
  <c r="D81" i="2" s="1"/>
  <c r="F81" i="2" l="1"/>
  <c r="E82" i="2"/>
  <c r="G81" i="2" l="1"/>
  <c r="B81" i="2" l="1"/>
  <c r="C81" i="2" s="1"/>
  <c r="D82" i="2" s="1"/>
  <c r="F82" i="2" l="1"/>
  <c r="E83" i="2"/>
  <c r="G82" i="2" l="1"/>
  <c r="B82" i="2" l="1"/>
  <c r="C82" i="2" s="1"/>
  <c r="D83" i="2" s="1"/>
  <c r="F83" i="2" l="1"/>
  <c r="E84" i="2"/>
  <c r="G83" i="2" l="1"/>
  <c r="B83" i="2" l="1"/>
  <c r="C83" i="2" s="1"/>
  <c r="D84" i="2" s="1"/>
  <c r="F84" i="2" l="1"/>
  <c r="E85" i="2"/>
  <c r="G84" i="2" l="1"/>
  <c r="B84" i="2" l="1"/>
  <c r="C84" i="2" s="1"/>
  <c r="D85" i="2" s="1"/>
  <c r="F85" i="2" l="1"/>
  <c r="E86" i="2"/>
  <c r="G85" i="2" l="1"/>
  <c r="B85" i="2" l="1"/>
  <c r="C85" i="2" s="1"/>
  <c r="D86" i="2" s="1"/>
  <c r="F86" i="2" l="1"/>
  <c r="E87" i="2"/>
  <c r="G86" i="2" l="1"/>
  <c r="B86" i="2" l="1"/>
  <c r="C86" i="2" s="1"/>
  <c r="D87" i="2" s="1"/>
  <c r="F87" i="2" l="1"/>
  <c r="E88" i="2"/>
  <c r="G87" i="2" l="1"/>
  <c r="B87" i="2" l="1"/>
  <c r="C87" i="2" s="1"/>
  <c r="D88" i="2" s="1"/>
  <c r="F88" i="2" l="1"/>
  <c r="E89" i="2"/>
  <c r="G88" i="2" l="1"/>
  <c r="B88" i="2" l="1"/>
  <c r="C88" i="2" s="1"/>
  <c r="D89" i="2" s="1"/>
  <c r="F89" i="2" l="1"/>
  <c r="E90" i="2"/>
  <c r="G89" i="2" l="1"/>
  <c r="B89" i="2" l="1"/>
  <c r="C89" i="2" s="1"/>
  <c r="D90" i="2" s="1"/>
  <c r="F90" i="2" l="1"/>
  <c r="E91" i="2"/>
  <c r="G90" i="2" l="1"/>
  <c r="B90" i="2" l="1"/>
  <c r="C90" i="2" s="1"/>
  <c r="D91" i="2" s="1"/>
  <c r="F91" i="2" l="1"/>
  <c r="E92" i="2"/>
  <c r="G91" i="2" l="1"/>
  <c r="B91" i="2" l="1"/>
  <c r="C91" i="2" s="1"/>
  <c r="D92" i="2" s="1"/>
  <c r="F92" i="2" l="1"/>
  <c r="E93" i="2"/>
  <c r="G92" i="2" l="1"/>
  <c r="B92" i="2" l="1"/>
  <c r="C92" i="2" s="1"/>
  <c r="D93" i="2" s="1"/>
  <c r="F93" i="2" l="1"/>
  <c r="E94" i="2"/>
  <c r="G93" i="2" l="1"/>
  <c r="B93" i="2" l="1"/>
  <c r="C93" i="2" s="1"/>
  <c r="D94" i="2" s="1"/>
  <c r="F94" i="2" l="1"/>
  <c r="E95" i="2"/>
  <c r="G94" i="2" l="1"/>
  <c r="B94" i="2" l="1"/>
  <c r="C94" i="2" s="1"/>
  <c r="D95" i="2" s="1"/>
  <c r="F95" i="2" l="1"/>
  <c r="E96" i="2"/>
  <c r="G95" i="2" l="1"/>
  <c r="B95" i="2" l="1"/>
  <c r="C95" i="2" s="1"/>
  <c r="D96" i="2" s="1"/>
  <c r="F96" i="2" l="1"/>
  <c r="E97" i="2"/>
  <c r="G96" i="2" l="1"/>
  <c r="B96" i="2" l="1"/>
  <c r="C96" i="2" s="1"/>
  <c r="D97" i="2" s="1"/>
  <c r="F97" i="2" l="1"/>
  <c r="E98" i="2"/>
  <c r="G97" i="2" l="1"/>
  <c r="B97" i="2" l="1"/>
  <c r="C97" i="2" s="1"/>
  <c r="D98" i="2" s="1"/>
  <c r="F98" i="2" l="1"/>
  <c r="E99" i="2"/>
  <c r="G98" i="2" l="1"/>
  <c r="B98" i="2" s="1"/>
  <c r="C98" i="2" s="1"/>
  <c r="D99" i="2" s="1"/>
  <c r="F99" i="2" l="1"/>
  <c r="G99" i="2" s="1"/>
  <c r="E100" i="2"/>
  <c r="B99" i="2" l="1"/>
  <c r="C99" i="2" s="1"/>
  <c r="D100" i="2" s="1"/>
  <c r="F100" i="2" s="1"/>
  <c r="E101" i="2" l="1"/>
  <c r="G100" i="2"/>
  <c r="B100" i="2" l="1"/>
  <c r="C100" i="2" s="1"/>
  <c r="D101" i="2" s="1"/>
  <c r="F101" i="2" s="1"/>
  <c r="E102" i="2" l="1"/>
  <c r="G101" i="2"/>
  <c r="B101" i="2" l="1"/>
  <c r="C101" i="2" s="1"/>
  <c r="D102" i="2" s="1"/>
  <c r="F102" i="2" s="1"/>
  <c r="E103" i="2" l="1"/>
  <c r="G102" i="2"/>
  <c r="B102" i="2" l="1"/>
  <c r="C102" i="2" s="1"/>
  <c r="D103" i="2" s="1"/>
  <c r="F103" i="2" s="1"/>
  <c r="G103" i="2" s="1"/>
  <c r="B103" i="2" l="1"/>
  <c r="C103" i="2" s="1"/>
  <c r="D104" i="2" s="1"/>
  <c r="F104" i="2" s="1"/>
  <c r="E104" i="2"/>
  <c r="E105" i="2" s="1"/>
  <c r="G104" i="2" l="1"/>
  <c r="B104" i="2" l="1"/>
  <c r="C104" i="2" s="1"/>
  <c r="D105" i="2" s="1"/>
  <c r="F105" i="2" l="1"/>
  <c r="E106" i="2"/>
  <c r="G105" i="2" l="1"/>
  <c r="B105" i="2" l="1"/>
  <c r="C105" i="2" s="1"/>
  <c r="D106" i="2" s="1"/>
  <c r="F106" i="2" l="1"/>
  <c r="E107" i="2"/>
  <c r="G106" i="2" l="1"/>
  <c r="B106" i="2" l="1"/>
  <c r="C106" i="2" s="1"/>
  <c r="D107" i="2" s="1"/>
  <c r="F107" i="2" l="1"/>
  <c r="E108" i="2"/>
  <c r="G107" i="2" l="1"/>
  <c r="B107" i="2" l="1"/>
  <c r="C107" i="2" s="1"/>
  <c r="D108" i="2" s="1"/>
  <c r="F108" i="2" l="1"/>
  <c r="G108" i="2" s="1"/>
  <c r="B108" i="2" s="1"/>
  <c r="C108" i="2" s="1"/>
  <c r="D109" i="2" s="1"/>
  <c r="F109" i="2" s="1"/>
  <c r="E109" i="2"/>
  <c r="E110" i="2" s="1"/>
  <c r="G109" i="2" l="1"/>
  <c r="B109" i="2"/>
  <c r="C109" i="2" s="1"/>
  <c r="D110" i="2" s="1"/>
  <c r="F110" i="2" s="1"/>
  <c r="G110" i="2" l="1"/>
  <c r="B110" i="2" s="1"/>
  <c r="C110" i="2" s="1"/>
</calcChain>
</file>

<file path=xl/sharedStrings.xml><?xml version="1.0" encoding="utf-8"?>
<sst xmlns="http://schemas.openxmlformats.org/spreadsheetml/2006/main" count="36" uniqueCount="19">
  <si>
    <t>系统参数</t>
  </si>
  <si>
    <t>m</t>
  </si>
  <si>
    <t>G</t>
  </si>
  <si>
    <t>k</t>
  </si>
  <si>
    <t>t</t>
  </si>
  <si>
    <t>初始参数</t>
  </si>
  <si>
    <t>v_0</t>
  </si>
  <si>
    <t>x_0</t>
  </si>
  <si>
    <t>更新历程</t>
  </si>
  <si>
    <t>受外力F</t>
  </si>
  <si>
    <t>a</t>
  </si>
  <si>
    <t>v</t>
  </si>
  <si>
    <t>x</t>
  </si>
  <si>
    <t>目标参数</t>
  </si>
  <si>
    <t>v_target</t>
  </si>
  <si>
    <t>error</t>
  </si>
  <si>
    <t>K_p</t>
  </si>
  <si>
    <t>sigma</t>
  </si>
  <si>
    <t>K_I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</si>
</sst>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华文楷体"/>
      <charset val="134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acceleration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(PIDtry1!$C$10,PIDtry1!$C$11:$C$110)</c:f>
              <c:numCache>
                <c:formatCode>0.000</c:formatCode>
                <c:ptCount val="101"/>
                <c:pt idx="0">
                  <c:v>30</c:v>
                </c:pt>
                <c:pt idx="1">
                  <c:v>12</c:v>
                </c:pt>
                <c:pt idx="2">
                  <c:v>4.8000000000000007</c:v>
                </c:pt>
                <c:pt idx="3">
                  <c:v>1.9199999999999982</c:v>
                </c:pt>
                <c:pt idx="4">
                  <c:v>0.76799999999999713</c:v>
                </c:pt>
                <c:pt idx="5">
                  <c:v>0.30719999999999814</c:v>
                </c:pt>
                <c:pt idx="6">
                  <c:v>0.12287999999999855</c:v>
                </c:pt>
                <c:pt idx="7">
                  <c:v>4.9152000000002971E-2</c:v>
                </c:pt>
                <c:pt idx="8">
                  <c:v>1.9660800000000478E-2</c:v>
                </c:pt>
                <c:pt idx="9">
                  <c:v>7.8643199999994806E-3</c:v>
                </c:pt>
                <c:pt idx="10">
                  <c:v>3.145728000003345E-3</c:v>
                </c:pt>
                <c:pt idx="11">
                  <c:v>1.2582911999992064E-3</c:v>
                </c:pt>
                <c:pt idx="12">
                  <c:v>5.0331647999612983E-4</c:v>
                </c:pt>
                <c:pt idx="13">
                  <c:v>2.0132659200200465E-4</c:v>
                </c:pt>
                <c:pt idx="14">
                  <c:v>8.0530636797249144E-5</c:v>
                </c:pt>
                <c:pt idx="15">
                  <c:v>3.22122547196102E-5</c:v>
                </c:pt>
                <c:pt idx="16">
                  <c:v>1.2884901888554623E-5</c:v>
                </c:pt>
                <c:pt idx="17">
                  <c:v>5.153960753290221E-6</c:v>
                </c:pt>
                <c:pt idx="18">
                  <c:v>2.0615843006055456E-6</c:v>
                </c:pt>
                <c:pt idx="19">
                  <c:v>8.2463371953167552E-7</c:v>
                </c:pt>
                <c:pt idx="20">
                  <c:v>3.2985348852321295E-7</c:v>
                </c:pt>
                <c:pt idx="21">
                  <c:v>1.3194139469874244E-7</c:v>
                </c:pt>
                <c:pt idx="22">
                  <c:v>5.2776560011125184E-8</c:v>
                </c:pt>
                <c:pt idx="23">
                  <c:v>2.1110626136078281E-8</c:v>
                </c:pt>
                <c:pt idx="24">
                  <c:v>8.4442532966022554E-9</c:v>
                </c:pt>
                <c:pt idx="25">
                  <c:v>3.3777034502691095E-9</c:v>
                </c:pt>
                <c:pt idx="26">
                  <c:v>1.3510792484794365E-9</c:v>
                </c:pt>
                <c:pt idx="27">
                  <c:v>5.404316993917746E-10</c:v>
                </c:pt>
                <c:pt idx="28">
                  <c:v>2.1617196921397408E-10</c:v>
                </c:pt>
                <c:pt idx="29">
                  <c:v>8.6469498228325392E-11</c:v>
                </c:pt>
                <c:pt idx="30">
                  <c:v>3.4585667663122877E-11</c:v>
                </c:pt>
                <c:pt idx="31">
                  <c:v>1.3834267065249151E-11</c:v>
                </c:pt>
                <c:pt idx="32">
                  <c:v>5.5315751978923799E-12</c:v>
                </c:pt>
                <c:pt idx="33">
                  <c:v>2.2133406218927121E-12</c:v>
                </c:pt>
                <c:pt idx="34">
                  <c:v>8.8462570602132473E-13</c:v>
                </c:pt>
                <c:pt idx="35">
                  <c:v>3.5171865420124959E-13</c:v>
                </c:pt>
                <c:pt idx="36">
                  <c:v>1.3855583347321954E-13</c:v>
                </c:pt>
                <c:pt idx="37">
                  <c:v>5.3290705182007514E-14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DB-46F4-B571-96743DB2B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180304"/>
        <c:axId val="75182224"/>
      </c:lineChart>
      <c:catAx>
        <c:axId val="75180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82224"/>
        <c:crosses val="autoZero"/>
        <c:auto val="1"/>
        <c:lblAlgn val="ctr"/>
        <c:lblOffset val="100"/>
        <c:noMultiLvlLbl val="0"/>
      </c:catAx>
      <c:valAx>
        <c:axId val="7518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8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velocity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(PIDtry1!$D$10,PIDtry1!$D$11,PIDtry1!$D$12,PIDtry1!$D$13:$D$110)</c:f>
              <c:numCache>
                <c:formatCode>0.000</c:formatCode>
                <c:ptCount val="101"/>
                <c:pt idx="0">
                  <c:v>0</c:v>
                </c:pt>
                <c:pt idx="1">
                  <c:v>3</c:v>
                </c:pt>
                <c:pt idx="2">
                  <c:v>4.2</c:v>
                </c:pt>
                <c:pt idx="3">
                  <c:v>4.6800000000000006</c:v>
                </c:pt>
                <c:pt idx="4">
                  <c:v>4.8720000000000008</c:v>
                </c:pt>
                <c:pt idx="5">
                  <c:v>4.9488000000000003</c:v>
                </c:pt>
                <c:pt idx="6">
                  <c:v>4.9795199999999999</c:v>
                </c:pt>
                <c:pt idx="7">
                  <c:v>4.9918079999999998</c:v>
                </c:pt>
                <c:pt idx="8">
                  <c:v>4.9967231999999999</c:v>
                </c:pt>
                <c:pt idx="9">
                  <c:v>4.9986892799999998</c:v>
                </c:pt>
                <c:pt idx="10">
                  <c:v>4.9994757119999997</c:v>
                </c:pt>
                <c:pt idx="11">
                  <c:v>4.9997902848000004</c:v>
                </c:pt>
                <c:pt idx="12">
                  <c:v>4.9999161139200003</c:v>
                </c:pt>
                <c:pt idx="13">
                  <c:v>4.999966445568</c:v>
                </c:pt>
                <c:pt idx="14">
                  <c:v>4.9999865782272002</c:v>
                </c:pt>
                <c:pt idx="15">
                  <c:v>4.9999946312908801</c:v>
                </c:pt>
                <c:pt idx="16">
                  <c:v>4.9999978525163522</c:v>
                </c:pt>
                <c:pt idx="17">
                  <c:v>4.9999991410065414</c:v>
                </c:pt>
                <c:pt idx="18">
                  <c:v>4.9999996564026166</c:v>
                </c:pt>
                <c:pt idx="19">
                  <c:v>4.9999998625610464</c:v>
                </c:pt>
                <c:pt idx="20">
                  <c:v>4.9999999450244186</c:v>
                </c:pt>
                <c:pt idx="21">
                  <c:v>4.9999999780097673</c:v>
                </c:pt>
                <c:pt idx="22">
                  <c:v>4.9999999912039064</c:v>
                </c:pt>
                <c:pt idx="23">
                  <c:v>4.999999996481562</c:v>
                </c:pt>
                <c:pt idx="24">
                  <c:v>4.9999999985926245</c:v>
                </c:pt>
                <c:pt idx="25">
                  <c:v>4.9999999994370494</c:v>
                </c:pt>
                <c:pt idx="26">
                  <c:v>4.9999999997748201</c:v>
                </c:pt>
                <c:pt idx="27">
                  <c:v>4.9999999999099281</c:v>
                </c:pt>
                <c:pt idx="28">
                  <c:v>4.999999999963971</c:v>
                </c:pt>
                <c:pt idx="29">
                  <c:v>4.9999999999855884</c:v>
                </c:pt>
                <c:pt idx="30">
                  <c:v>4.9999999999942357</c:v>
                </c:pt>
                <c:pt idx="31">
                  <c:v>4.9999999999976943</c:v>
                </c:pt>
                <c:pt idx="32">
                  <c:v>4.9999999999990781</c:v>
                </c:pt>
                <c:pt idx="33">
                  <c:v>4.9999999999996314</c:v>
                </c:pt>
                <c:pt idx="34">
                  <c:v>4.9999999999998526</c:v>
                </c:pt>
                <c:pt idx="35">
                  <c:v>4.9999999999999414</c:v>
                </c:pt>
                <c:pt idx="36">
                  <c:v>4.9999999999999769</c:v>
                </c:pt>
                <c:pt idx="37">
                  <c:v>4.9999999999999911</c:v>
                </c:pt>
                <c:pt idx="38">
                  <c:v>4.9999999999999964</c:v>
                </c:pt>
                <c:pt idx="39">
                  <c:v>4.9999999999999964</c:v>
                </c:pt>
                <c:pt idx="40">
                  <c:v>4.9999999999999964</c:v>
                </c:pt>
                <c:pt idx="41">
                  <c:v>4.9999999999999964</c:v>
                </c:pt>
                <c:pt idx="42">
                  <c:v>4.9999999999999964</c:v>
                </c:pt>
                <c:pt idx="43">
                  <c:v>4.9999999999999964</c:v>
                </c:pt>
                <c:pt idx="44">
                  <c:v>4.9999999999999964</c:v>
                </c:pt>
                <c:pt idx="45">
                  <c:v>4.9999999999999964</c:v>
                </c:pt>
                <c:pt idx="46">
                  <c:v>4.9999999999999964</c:v>
                </c:pt>
                <c:pt idx="47">
                  <c:v>4.9999999999999964</c:v>
                </c:pt>
                <c:pt idx="48">
                  <c:v>4.9999999999999964</c:v>
                </c:pt>
                <c:pt idx="49">
                  <c:v>4.9999999999999964</c:v>
                </c:pt>
                <c:pt idx="50">
                  <c:v>4.9999999999999964</c:v>
                </c:pt>
                <c:pt idx="51">
                  <c:v>4.9999999999999964</c:v>
                </c:pt>
                <c:pt idx="52">
                  <c:v>4.9999999999999964</c:v>
                </c:pt>
                <c:pt idx="53">
                  <c:v>4.9999999999999964</c:v>
                </c:pt>
                <c:pt idx="54">
                  <c:v>4.9999999999999964</c:v>
                </c:pt>
                <c:pt idx="55">
                  <c:v>4.9999999999999964</c:v>
                </c:pt>
                <c:pt idx="56">
                  <c:v>4.9999999999999964</c:v>
                </c:pt>
                <c:pt idx="57">
                  <c:v>4.9999999999999964</c:v>
                </c:pt>
                <c:pt idx="58">
                  <c:v>4.9999999999999964</c:v>
                </c:pt>
                <c:pt idx="59">
                  <c:v>4.9999999999999964</c:v>
                </c:pt>
                <c:pt idx="60">
                  <c:v>4.9999999999999964</c:v>
                </c:pt>
                <c:pt idx="61">
                  <c:v>4.9999999999999964</c:v>
                </c:pt>
                <c:pt idx="62">
                  <c:v>4.9999999999999964</c:v>
                </c:pt>
                <c:pt idx="63">
                  <c:v>4.9999999999999964</c:v>
                </c:pt>
                <c:pt idx="64">
                  <c:v>4.9999999999999964</c:v>
                </c:pt>
                <c:pt idx="65">
                  <c:v>4.9999999999999964</c:v>
                </c:pt>
                <c:pt idx="66">
                  <c:v>4.9999999999999964</c:v>
                </c:pt>
                <c:pt idx="67">
                  <c:v>4.9999999999999964</c:v>
                </c:pt>
                <c:pt idx="68">
                  <c:v>4.9999999999999964</c:v>
                </c:pt>
                <c:pt idx="69">
                  <c:v>4.9999999999999964</c:v>
                </c:pt>
                <c:pt idx="70">
                  <c:v>4.9999999999999964</c:v>
                </c:pt>
                <c:pt idx="71">
                  <c:v>4.9999999999999964</c:v>
                </c:pt>
                <c:pt idx="72">
                  <c:v>4.9999999999999964</c:v>
                </c:pt>
                <c:pt idx="73">
                  <c:v>4.9999999999999964</c:v>
                </c:pt>
                <c:pt idx="74">
                  <c:v>4.9999999999999964</c:v>
                </c:pt>
                <c:pt idx="75">
                  <c:v>4.9999999999999964</c:v>
                </c:pt>
                <c:pt idx="76">
                  <c:v>4.9999999999999964</c:v>
                </c:pt>
                <c:pt idx="77">
                  <c:v>4.9999999999999964</c:v>
                </c:pt>
                <c:pt idx="78">
                  <c:v>4.9999999999999964</c:v>
                </c:pt>
                <c:pt idx="79">
                  <c:v>4.9999999999999964</c:v>
                </c:pt>
                <c:pt idx="80">
                  <c:v>4.9999999999999964</c:v>
                </c:pt>
                <c:pt idx="81">
                  <c:v>4.9999999999999964</c:v>
                </c:pt>
                <c:pt idx="82">
                  <c:v>4.9999999999999964</c:v>
                </c:pt>
                <c:pt idx="83">
                  <c:v>4.9999999999999964</c:v>
                </c:pt>
                <c:pt idx="84">
                  <c:v>4.9999999999999964</c:v>
                </c:pt>
                <c:pt idx="85">
                  <c:v>4.9999999999999964</c:v>
                </c:pt>
                <c:pt idx="86">
                  <c:v>4.9999999999999964</c:v>
                </c:pt>
                <c:pt idx="87">
                  <c:v>4.9999999999999964</c:v>
                </c:pt>
                <c:pt idx="88">
                  <c:v>4.9999999999999964</c:v>
                </c:pt>
                <c:pt idx="89">
                  <c:v>4.9999999999999964</c:v>
                </c:pt>
                <c:pt idx="90">
                  <c:v>4.9999999999999964</c:v>
                </c:pt>
                <c:pt idx="91">
                  <c:v>4.9999999999999964</c:v>
                </c:pt>
                <c:pt idx="92">
                  <c:v>4.9999999999999964</c:v>
                </c:pt>
                <c:pt idx="93">
                  <c:v>4.9999999999999964</c:v>
                </c:pt>
                <c:pt idx="94">
                  <c:v>4.9999999999999964</c:v>
                </c:pt>
                <c:pt idx="95">
                  <c:v>4.9999999999999964</c:v>
                </c:pt>
                <c:pt idx="96">
                  <c:v>4.9999999999999964</c:v>
                </c:pt>
                <c:pt idx="97">
                  <c:v>4.9999999999999964</c:v>
                </c:pt>
                <c:pt idx="98">
                  <c:v>4.9999999999999964</c:v>
                </c:pt>
                <c:pt idx="99">
                  <c:v>4.9999999999999964</c:v>
                </c:pt>
                <c:pt idx="100">
                  <c:v>4.9999999999999964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8D-438B-B1AD-64116B351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076528"/>
        <c:axId val="408077008"/>
      </c:lineChart>
      <c:catAx>
        <c:axId val="408076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077008"/>
        <c:crosses val="autoZero"/>
        <c:auto val="1"/>
        <c:lblAlgn val="ctr"/>
        <c:lblOffset val="100"/>
        <c:noMultiLvlLbl val="0"/>
      </c:catAx>
      <c:valAx>
        <c:axId val="40807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07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(PIDtry1!$E$10,PIDtry1!$E$11,PIDtry1!$E$12:$E$110)</c:f>
              <c:numCache>
                <c:formatCode>0.000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0.30000000000000004</c:v>
                </c:pt>
                <c:pt idx="3">
                  <c:v>0.72000000000000008</c:v>
                </c:pt>
                <c:pt idx="4">
                  <c:v>1.1880000000000002</c:v>
                </c:pt>
                <c:pt idx="5">
                  <c:v>1.6752000000000002</c:v>
                </c:pt>
                <c:pt idx="6">
                  <c:v>2.1700800000000005</c:v>
                </c:pt>
                <c:pt idx="7">
                  <c:v>2.6680320000000006</c:v>
                </c:pt>
                <c:pt idx="8">
                  <c:v>3.1672128000000006</c:v>
                </c:pt>
                <c:pt idx="9">
                  <c:v>3.6668851200000008</c:v>
                </c:pt>
                <c:pt idx="10">
                  <c:v>4.1667540480000005</c:v>
                </c:pt>
                <c:pt idx="11">
                  <c:v>4.6667016192000004</c:v>
                </c:pt>
                <c:pt idx="12">
                  <c:v>5.1666806476800007</c:v>
                </c:pt>
                <c:pt idx="13">
                  <c:v>5.6666722590720005</c:v>
                </c:pt>
                <c:pt idx="14">
                  <c:v>6.1666689036288007</c:v>
                </c:pt>
                <c:pt idx="15">
                  <c:v>6.6666675614515203</c:v>
                </c:pt>
                <c:pt idx="16">
                  <c:v>7.1666670245806081</c:v>
                </c:pt>
                <c:pt idx="17">
                  <c:v>7.6666668098322432</c:v>
                </c:pt>
                <c:pt idx="18">
                  <c:v>8.1666667239328969</c:v>
                </c:pt>
                <c:pt idx="19">
                  <c:v>8.6666666895731588</c:v>
                </c:pt>
                <c:pt idx="20">
                  <c:v>9.1666666758292639</c:v>
                </c:pt>
                <c:pt idx="21">
                  <c:v>9.6666666703317059</c:v>
                </c:pt>
                <c:pt idx="22">
                  <c:v>10.166666668132683</c:v>
                </c:pt>
                <c:pt idx="23">
                  <c:v>10.666666667253073</c:v>
                </c:pt>
                <c:pt idx="24">
                  <c:v>11.16666666690123</c:v>
                </c:pt>
                <c:pt idx="25">
                  <c:v>11.666666666760493</c:v>
                </c:pt>
                <c:pt idx="26">
                  <c:v>12.166666666704199</c:v>
                </c:pt>
                <c:pt idx="27">
                  <c:v>12.666666666681682</c:v>
                </c:pt>
                <c:pt idx="28">
                  <c:v>13.166666666672674</c:v>
                </c:pt>
                <c:pt idx="29">
                  <c:v>13.666666666669071</c:v>
                </c:pt>
                <c:pt idx="30">
                  <c:v>14.166666666667631</c:v>
                </c:pt>
                <c:pt idx="31">
                  <c:v>14.666666666667055</c:v>
                </c:pt>
                <c:pt idx="32">
                  <c:v>15.166666666666824</c:v>
                </c:pt>
                <c:pt idx="33">
                  <c:v>15.666666666666732</c:v>
                </c:pt>
                <c:pt idx="34">
                  <c:v>16.166666666666696</c:v>
                </c:pt>
                <c:pt idx="35">
                  <c:v>16.666666666666682</c:v>
                </c:pt>
                <c:pt idx="36">
                  <c:v>17.166666666666675</c:v>
                </c:pt>
                <c:pt idx="37">
                  <c:v>17.666666666666671</c:v>
                </c:pt>
                <c:pt idx="38">
                  <c:v>18.166666666666671</c:v>
                </c:pt>
                <c:pt idx="39">
                  <c:v>18.666666666666671</c:v>
                </c:pt>
                <c:pt idx="40">
                  <c:v>19.166666666666671</c:v>
                </c:pt>
                <c:pt idx="41">
                  <c:v>19.666666666666671</c:v>
                </c:pt>
                <c:pt idx="42">
                  <c:v>20.166666666666671</c:v>
                </c:pt>
                <c:pt idx="43">
                  <c:v>20.666666666666671</c:v>
                </c:pt>
                <c:pt idx="44">
                  <c:v>21.166666666666671</c:v>
                </c:pt>
                <c:pt idx="45">
                  <c:v>21.666666666666671</c:v>
                </c:pt>
                <c:pt idx="46">
                  <c:v>22.166666666666671</c:v>
                </c:pt>
                <c:pt idx="47">
                  <c:v>22.666666666666671</c:v>
                </c:pt>
                <c:pt idx="48">
                  <c:v>23.166666666666671</c:v>
                </c:pt>
                <c:pt idx="49">
                  <c:v>23.666666666666671</c:v>
                </c:pt>
                <c:pt idx="50">
                  <c:v>24.166666666666671</c:v>
                </c:pt>
                <c:pt idx="51">
                  <c:v>24.666666666666671</c:v>
                </c:pt>
                <c:pt idx="52">
                  <c:v>25.166666666666671</c:v>
                </c:pt>
                <c:pt idx="53">
                  <c:v>25.666666666666671</c:v>
                </c:pt>
                <c:pt idx="54">
                  <c:v>26.166666666666671</c:v>
                </c:pt>
                <c:pt idx="55">
                  <c:v>26.666666666666671</c:v>
                </c:pt>
                <c:pt idx="56">
                  <c:v>27.166666666666671</c:v>
                </c:pt>
                <c:pt idx="57">
                  <c:v>27.666666666666671</c:v>
                </c:pt>
                <c:pt idx="58">
                  <c:v>28.166666666666671</c:v>
                </c:pt>
                <c:pt idx="59">
                  <c:v>28.666666666666671</c:v>
                </c:pt>
                <c:pt idx="60">
                  <c:v>29.166666666666671</c:v>
                </c:pt>
                <c:pt idx="61">
                  <c:v>29.666666666666671</c:v>
                </c:pt>
                <c:pt idx="62">
                  <c:v>30.166666666666671</c:v>
                </c:pt>
                <c:pt idx="63">
                  <c:v>30.666666666666671</c:v>
                </c:pt>
                <c:pt idx="64">
                  <c:v>31.166666666666671</c:v>
                </c:pt>
                <c:pt idx="65">
                  <c:v>31.666666666666671</c:v>
                </c:pt>
                <c:pt idx="66">
                  <c:v>32.166666666666671</c:v>
                </c:pt>
                <c:pt idx="67">
                  <c:v>32.666666666666671</c:v>
                </c:pt>
                <c:pt idx="68">
                  <c:v>33.166666666666671</c:v>
                </c:pt>
                <c:pt idx="69">
                  <c:v>33.666666666666671</c:v>
                </c:pt>
                <c:pt idx="70">
                  <c:v>34.166666666666671</c:v>
                </c:pt>
                <c:pt idx="71">
                  <c:v>34.666666666666671</c:v>
                </c:pt>
                <c:pt idx="72">
                  <c:v>35.166666666666671</c:v>
                </c:pt>
                <c:pt idx="73">
                  <c:v>35.666666666666671</c:v>
                </c:pt>
                <c:pt idx="74">
                  <c:v>36.166666666666671</c:v>
                </c:pt>
                <c:pt idx="75">
                  <c:v>36.666666666666671</c:v>
                </c:pt>
                <c:pt idx="76">
                  <c:v>37.166666666666671</c:v>
                </c:pt>
                <c:pt idx="77">
                  <c:v>37.666666666666671</c:v>
                </c:pt>
                <c:pt idx="78">
                  <c:v>38.166666666666671</c:v>
                </c:pt>
                <c:pt idx="79">
                  <c:v>38.666666666666671</c:v>
                </c:pt>
                <c:pt idx="80">
                  <c:v>39.166666666666671</c:v>
                </c:pt>
                <c:pt idx="81">
                  <c:v>39.666666666666671</c:v>
                </c:pt>
                <c:pt idx="82">
                  <c:v>40.166666666666671</c:v>
                </c:pt>
                <c:pt idx="83">
                  <c:v>40.666666666666671</c:v>
                </c:pt>
                <c:pt idx="84">
                  <c:v>41.166666666666671</c:v>
                </c:pt>
                <c:pt idx="85">
                  <c:v>41.666666666666671</c:v>
                </c:pt>
                <c:pt idx="86">
                  <c:v>42.166666666666671</c:v>
                </c:pt>
                <c:pt idx="87">
                  <c:v>42.666666666666671</c:v>
                </c:pt>
                <c:pt idx="88">
                  <c:v>43.166666666666671</c:v>
                </c:pt>
                <c:pt idx="89">
                  <c:v>43.666666666666671</c:v>
                </c:pt>
                <c:pt idx="90">
                  <c:v>44.166666666666671</c:v>
                </c:pt>
                <c:pt idx="91">
                  <c:v>44.666666666666671</c:v>
                </c:pt>
                <c:pt idx="92">
                  <c:v>45.166666666666671</c:v>
                </c:pt>
                <c:pt idx="93">
                  <c:v>45.666666666666671</c:v>
                </c:pt>
                <c:pt idx="94">
                  <c:v>46.166666666666671</c:v>
                </c:pt>
                <c:pt idx="95">
                  <c:v>46.666666666666671</c:v>
                </c:pt>
                <c:pt idx="96">
                  <c:v>47.166666666666671</c:v>
                </c:pt>
                <c:pt idx="97">
                  <c:v>47.666666666666671</c:v>
                </c:pt>
                <c:pt idx="98">
                  <c:v>48.166666666666671</c:v>
                </c:pt>
                <c:pt idx="99">
                  <c:v>48.666666666666671</c:v>
                </c:pt>
                <c:pt idx="100">
                  <c:v>49.166666666666671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DC-4359-9D9C-4A28115A6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3790384"/>
        <c:axId val="403787024"/>
      </c:lineChart>
      <c:catAx>
        <c:axId val="403790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787024"/>
        <c:crosses val="autoZero"/>
        <c:auto val="1"/>
        <c:lblAlgn val="ctr"/>
        <c:lblOffset val="100"/>
        <c:noMultiLvlLbl val="0"/>
      </c:catAx>
      <c:valAx>
        <c:axId val="40378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79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(PIDtry1!$E$10,PIDtry1!$E$11,PIDtry1!$E$12:$E$110)</c:f>
              <c:numCache>
                <c:formatCode>0.000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0.30000000000000004</c:v>
                </c:pt>
                <c:pt idx="3">
                  <c:v>0.72000000000000008</c:v>
                </c:pt>
                <c:pt idx="4">
                  <c:v>1.1880000000000002</c:v>
                </c:pt>
                <c:pt idx="5">
                  <c:v>1.6752000000000002</c:v>
                </c:pt>
                <c:pt idx="6">
                  <c:v>2.1700800000000005</c:v>
                </c:pt>
                <c:pt idx="7">
                  <c:v>2.6680320000000006</c:v>
                </c:pt>
                <c:pt idx="8">
                  <c:v>3.1672128000000006</c:v>
                </c:pt>
                <c:pt idx="9">
                  <c:v>3.6668851200000008</c:v>
                </c:pt>
                <c:pt idx="10">
                  <c:v>4.1667540480000005</c:v>
                </c:pt>
                <c:pt idx="11">
                  <c:v>4.6667016192000004</c:v>
                </c:pt>
                <c:pt idx="12">
                  <c:v>5.1666806476800007</c:v>
                </c:pt>
                <c:pt idx="13">
                  <c:v>5.6666722590720005</c:v>
                </c:pt>
                <c:pt idx="14">
                  <c:v>6.1666689036288007</c:v>
                </c:pt>
                <c:pt idx="15">
                  <c:v>6.6666675614515203</c:v>
                </c:pt>
                <c:pt idx="16">
                  <c:v>7.1666670245806081</c:v>
                </c:pt>
                <c:pt idx="17">
                  <c:v>7.6666668098322432</c:v>
                </c:pt>
                <c:pt idx="18">
                  <c:v>8.1666667239328969</c:v>
                </c:pt>
                <c:pt idx="19">
                  <c:v>8.6666666895731588</c:v>
                </c:pt>
                <c:pt idx="20">
                  <c:v>9.1666666758292639</c:v>
                </c:pt>
                <c:pt idx="21">
                  <c:v>9.6666666703317059</c:v>
                </c:pt>
                <c:pt idx="22">
                  <c:v>10.166666668132683</c:v>
                </c:pt>
                <c:pt idx="23">
                  <c:v>10.666666667253073</c:v>
                </c:pt>
                <c:pt idx="24">
                  <c:v>11.16666666690123</c:v>
                </c:pt>
                <c:pt idx="25">
                  <c:v>11.666666666760493</c:v>
                </c:pt>
                <c:pt idx="26">
                  <c:v>12.166666666704199</c:v>
                </c:pt>
                <c:pt idx="27">
                  <c:v>12.666666666681682</c:v>
                </c:pt>
                <c:pt idx="28">
                  <c:v>13.166666666672674</c:v>
                </c:pt>
                <c:pt idx="29">
                  <c:v>13.666666666669071</c:v>
                </c:pt>
                <c:pt idx="30">
                  <c:v>14.166666666667631</c:v>
                </c:pt>
                <c:pt idx="31">
                  <c:v>14.666666666667055</c:v>
                </c:pt>
                <c:pt idx="32">
                  <c:v>15.166666666666824</c:v>
                </c:pt>
                <c:pt idx="33">
                  <c:v>15.666666666666732</c:v>
                </c:pt>
                <c:pt idx="34">
                  <c:v>16.166666666666696</c:v>
                </c:pt>
                <c:pt idx="35">
                  <c:v>16.666666666666682</c:v>
                </c:pt>
                <c:pt idx="36">
                  <c:v>17.166666666666675</c:v>
                </c:pt>
                <c:pt idx="37">
                  <c:v>17.666666666666671</c:v>
                </c:pt>
                <c:pt idx="38">
                  <c:v>18.166666666666671</c:v>
                </c:pt>
                <c:pt idx="39">
                  <c:v>18.666666666666671</c:v>
                </c:pt>
                <c:pt idx="40">
                  <c:v>19.166666666666671</c:v>
                </c:pt>
                <c:pt idx="41">
                  <c:v>19.666666666666671</c:v>
                </c:pt>
                <c:pt idx="42">
                  <c:v>20.166666666666671</c:v>
                </c:pt>
                <c:pt idx="43">
                  <c:v>20.666666666666671</c:v>
                </c:pt>
                <c:pt idx="44">
                  <c:v>21.166666666666671</c:v>
                </c:pt>
                <c:pt idx="45">
                  <c:v>21.666666666666671</c:v>
                </c:pt>
                <c:pt idx="46">
                  <c:v>22.166666666666671</c:v>
                </c:pt>
                <c:pt idx="47">
                  <c:v>22.666666666666671</c:v>
                </c:pt>
                <c:pt idx="48">
                  <c:v>23.166666666666671</c:v>
                </c:pt>
                <c:pt idx="49">
                  <c:v>23.666666666666671</c:v>
                </c:pt>
                <c:pt idx="50">
                  <c:v>24.166666666666671</c:v>
                </c:pt>
                <c:pt idx="51">
                  <c:v>24.666666666666671</c:v>
                </c:pt>
                <c:pt idx="52">
                  <c:v>25.166666666666671</c:v>
                </c:pt>
                <c:pt idx="53">
                  <c:v>25.666666666666671</c:v>
                </c:pt>
                <c:pt idx="54">
                  <c:v>26.166666666666671</c:v>
                </c:pt>
                <c:pt idx="55">
                  <c:v>26.666666666666671</c:v>
                </c:pt>
                <c:pt idx="56">
                  <c:v>27.166666666666671</c:v>
                </c:pt>
                <c:pt idx="57">
                  <c:v>27.666666666666671</c:v>
                </c:pt>
                <c:pt idx="58">
                  <c:v>28.166666666666671</c:v>
                </c:pt>
                <c:pt idx="59">
                  <c:v>28.666666666666671</c:v>
                </c:pt>
                <c:pt idx="60">
                  <c:v>29.166666666666671</c:v>
                </c:pt>
                <c:pt idx="61">
                  <c:v>29.666666666666671</c:v>
                </c:pt>
                <c:pt idx="62">
                  <c:v>30.166666666666671</c:v>
                </c:pt>
                <c:pt idx="63">
                  <c:v>30.666666666666671</c:v>
                </c:pt>
                <c:pt idx="64">
                  <c:v>31.166666666666671</c:v>
                </c:pt>
                <c:pt idx="65">
                  <c:v>31.666666666666671</c:v>
                </c:pt>
                <c:pt idx="66">
                  <c:v>32.166666666666671</c:v>
                </c:pt>
                <c:pt idx="67">
                  <c:v>32.666666666666671</c:v>
                </c:pt>
                <c:pt idx="68">
                  <c:v>33.166666666666671</c:v>
                </c:pt>
                <c:pt idx="69">
                  <c:v>33.666666666666671</c:v>
                </c:pt>
                <c:pt idx="70">
                  <c:v>34.166666666666671</c:v>
                </c:pt>
                <c:pt idx="71">
                  <c:v>34.666666666666671</c:v>
                </c:pt>
                <c:pt idx="72">
                  <c:v>35.166666666666671</c:v>
                </c:pt>
                <c:pt idx="73">
                  <c:v>35.666666666666671</c:v>
                </c:pt>
                <c:pt idx="74">
                  <c:v>36.166666666666671</c:v>
                </c:pt>
                <c:pt idx="75">
                  <c:v>36.666666666666671</c:v>
                </c:pt>
                <c:pt idx="76">
                  <c:v>37.166666666666671</c:v>
                </c:pt>
                <c:pt idx="77">
                  <c:v>37.666666666666671</c:v>
                </c:pt>
                <c:pt idx="78">
                  <c:v>38.166666666666671</c:v>
                </c:pt>
                <c:pt idx="79">
                  <c:v>38.666666666666671</c:v>
                </c:pt>
                <c:pt idx="80">
                  <c:v>39.166666666666671</c:v>
                </c:pt>
                <c:pt idx="81">
                  <c:v>39.666666666666671</c:v>
                </c:pt>
                <c:pt idx="82">
                  <c:v>40.166666666666671</c:v>
                </c:pt>
                <c:pt idx="83">
                  <c:v>40.666666666666671</c:v>
                </c:pt>
                <c:pt idx="84">
                  <c:v>41.166666666666671</c:v>
                </c:pt>
                <c:pt idx="85">
                  <c:v>41.666666666666671</c:v>
                </c:pt>
                <c:pt idx="86">
                  <c:v>42.166666666666671</c:v>
                </c:pt>
                <c:pt idx="87">
                  <c:v>42.666666666666671</c:v>
                </c:pt>
                <c:pt idx="88">
                  <c:v>43.166666666666671</c:v>
                </c:pt>
                <c:pt idx="89">
                  <c:v>43.666666666666671</c:v>
                </c:pt>
                <c:pt idx="90">
                  <c:v>44.166666666666671</c:v>
                </c:pt>
                <c:pt idx="91">
                  <c:v>44.666666666666671</c:v>
                </c:pt>
                <c:pt idx="92">
                  <c:v>45.166666666666671</c:v>
                </c:pt>
                <c:pt idx="93">
                  <c:v>45.666666666666671</c:v>
                </c:pt>
                <c:pt idx="94">
                  <c:v>46.166666666666671</c:v>
                </c:pt>
                <c:pt idx="95">
                  <c:v>46.666666666666671</c:v>
                </c:pt>
                <c:pt idx="96">
                  <c:v>47.166666666666671</c:v>
                </c:pt>
                <c:pt idx="97">
                  <c:v>47.666666666666671</c:v>
                </c:pt>
                <c:pt idx="98">
                  <c:v>48.166666666666671</c:v>
                </c:pt>
                <c:pt idx="99">
                  <c:v>48.666666666666671</c:v>
                </c:pt>
                <c:pt idx="100">
                  <c:v>49.166666666666671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DC-4359-9D9C-4A28115A6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3790384"/>
        <c:axId val="403787024"/>
      </c:lineChart>
      <c:catAx>
        <c:axId val="403790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787024"/>
        <c:crosses val="autoZero"/>
        <c:auto val="1"/>
        <c:lblAlgn val="ctr"/>
        <c:lblOffset val="100"/>
        <c:noMultiLvlLbl val="0"/>
      </c:catAx>
      <c:valAx>
        <c:axId val="40378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79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(pidtry2!$C$10,pidtry2!$C$11,pidtry2!$C$12:$C$110)</c:f>
              <c:numCache>
                <c:formatCode>0.000</c:formatCode>
                <c:ptCount val="101"/>
                <c:pt idx="0">
                  <c:v>26</c:v>
                </c:pt>
                <c:pt idx="1">
                  <c:v>-17.400000000000002</c:v>
                </c:pt>
                <c:pt idx="2">
                  <c:v>13.860000000000003</c:v>
                </c:pt>
                <c:pt idx="3">
                  <c:v>-9.0540000000000092</c:v>
                </c:pt>
                <c:pt idx="4">
                  <c:v>7.410600000000013</c:v>
                </c:pt>
                <c:pt idx="5">
                  <c:v>-4.6913400000000127</c:v>
                </c:pt>
                <c:pt idx="6">
                  <c:v>3.9772260000000088</c:v>
                </c:pt>
                <c:pt idx="7">
                  <c:v>-2.4170814000000114</c:v>
                </c:pt>
                <c:pt idx="8">
                  <c:v>2.1446274600000113</c:v>
                </c:pt>
                <c:pt idx="9">
                  <c:v>-1.235786094000014</c:v>
                </c:pt>
                <c:pt idx="10">
                  <c:v>1.163197866600008</c:v>
                </c:pt>
                <c:pt idx="11">
                  <c:v>-0.62515186974000159</c:v>
                </c:pt>
                <c:pt idx="12">
                  <c:v>0.63540353298600039</c:v>
                </c:pt>
                <c:pt idx="13">
                  <c:v>-0.31155076854540198</c:v>
                </c:pt>
                <c:pt idx="14">
                  <c:v>0.35008704293706039</c:v>
                </c:pt>
                <c:pt idx="15">
                  <c:v>-0.15192175683353248</c:v>
                </c:pt>
                <c:pt idx="16">
                  <c:v>0.19486005007888352</c:v>
                </c:pt>
                <c:pt idx="17">
                  <c:v>-7.1667049092233981E-2</c:v>
                </c:pt>
                <c:pt idx="18">
                  <c:v>0.10974932513810742</c:v>
                </c:pt>
                <c:pt idx="19">
                  <c:v>-3.2025296941528225E-2</c:v>
                </c:pt>
                <c:pt idx="20">
                  <c:v>6.264706538871323E-2</c:v>
                </c:pt>
                <c:pt idx="21">
                  <c:v>-1.2950471626046678E-2</c:v>
                </c:pt>
                <c:pt idx="22">
                  <c:v>3.6293192070623093E-2</c:v>
                </c:pt>
                <c:pt idx="23">
                  <c:v>-4.1409637685632106E-3</c:v>
                </c:pt>
                <c:pt idx="24">
                  <c:v>2.1361818865516469E-2</c:v>
                </c:pt>
                <c:pt idx="25">
                  <c:v>-3.4839637459072037E-4</c:v>
                </c:pt>
                <c:pt idx="26">
                  <c:v>1.2782251681851875E-2</c:v>
                </c:pt>
                <c:pt idx="27">
                  <c:v>1.069187343434308E-3</c:v>
                </c:pt>
                <c:pt idx="28">
                  <c:v>7.7762697434522465E-3</c:v>
                </c:pt>
                <c:pt idx="29">
                  <c:v>1.4191393804097174E-3</c:v>
                </c:pt>
                <c:pt idx="30">
                  <c:v>4.8076757841073459E-3</c:v>
                </c:pt>
                <c:pt idx="31">
                  <c:v>1.332251206660473E-3</c:v>
                </c:pt>
                <c:pt idx="32">
                  <c:v>3.0178305911299219E-3</c:v>
                </c:pt>
                <c:pt idx="33">
                  <c:v>1.1011337831074997E-3</c:v>
                </c:pt>
                <c:pt idx="34">
                  <c:v>1.9208117329885255E-3</c:v>
                </c:pt>
                <c:pt idx="35">
                  <c:v>8.5276144316281943E-4</c:v>
                </c:pt>
                <c:pt idx="36">
                  <c:v>1.2377631841111736E-3</c:v>
                </c:pt>
                <c:pt idx="37">
                  <c:v>6.3543318430703266E-4</c:v>
                </c:pt>
                <c:pt idx="38">
                  <c:v>8.0620122889918377E-4</c:v>
                </c:pt>
                <c:pt idx="39">
                  <c:v>4.618800334732498E-4</c:v>
                </c:pt>
                <c:pt idx="40">
                  <c:v>5.2990874068647997E-4</c:v>
                </c:pt>
                <c:pt idx="41">
                  <c:v>3.3011889415135443E-4</c:v>
                </c:pt>
                <c:pt idx="42">
                  <c:v>3.5095713382560234E-4</c:v>
                </c:pt>
                <c:pt idx="43">
                  <c:v>2.3316704987763615E-4</c:v>
                </c:pt>
                <c:pt idx="44">
                  <c:v>2.3389098528170393E-4</c:v>
                </c:pt>
                <c:pt idx="45">
                  <c:v>1.6328932845510735E-4</c:v>
                </c:pt>
                <c:pt idx="46">
                  <c:v>1.5666352401666472E-4</c:v>
                </c:pt>
                <c:pt idx="47">
                  <c:v>1.1363994947366507E-4</c:v>
                </c:pt>
                <c:pt idx="48">
                  <c:v>1.0536210935896406E-4</c:v>
                </c:pt>
                <c:pt idx="49">
                  <c:v>7.8720180614055835E-5</c:v>
                </c:pt>
                <c:pt idx="50">
                  <c:v>7.1089283682823634E-5</c:v>
                </c:pt>
                <c:pt idx="51">
                  <c:v>5.4341036733518422E-5</c:v>
                </c:pt>
                <c:pt idx="52">
                  <c:v>4.8087673887309279E-5</c:v>
                </c:pt>
                <c:pt idx="53">
                  <c:v>3.7413389426532717E-5</c:v>
                </c:pt>
                <c:pt idx="54">
                  <c:v>3.2593943274150661E-5</c:v>
                </c:pt>
                <c:pt idx="55">
                  <c:v>2.5707427985466325E-5</c:v>
                </c:pt>
                <c:pt idx="56">
                  <c:v>2.2127108760372494E-5</c:v>
                </c:pt>
                <c:pt idx="57">
                  <c:v>1.7637167667672315E-5</c:v>
                </c:pt>
                <c:pt idx="58">
                  <c:v>1.5039982020681464E-5</c:v>
                </c:pt>
                <c:pt idx="59">
                  <c:v>1.2086298806224249E-5</c:v>
                </c:pt>
                <c:pt idx="60">
                  <c:v>1.0232619093386575E-5</c:v>
                </c:pt>
                <c:pt idx="61">
                  <c:v>8.275041189165222E-6</c:v>
                </c:pt>
                <c:pt idx="62">
                  <c:v>6.9670755760142811E-6</c:v>
                </c:pt>
                <c:pt idx="63">
                  <c:v>5.6617322705676543E-6</c:v>
                </c:pt>
                <c:pt idx="64">
                  <c:v>4.746418575507505E-6</c:v>
                </c:pt>
                <c:pt idx="65">
                  <c:v>3.8716812191808003E-6</c:v>
                </c:pt>
                <c:pt idx="66">
                  <c:v>3.2350192640251407E-6</c:v>
                </c:pt>
                <c:pt idx="67">
                  <c:v>2.6465106621742507E-6</c:v>
                </c:pt>
                <c:pt idx="68">
                  <c:v>2.205662623211424E-6</c:v>
                </c:pt>
                <c:pt idx="69">
                  <c:v>1.8084726605138712E-6</c:v>
                </c:pt>
                <c:pt idx="70">
                  <c:v>1.5042448371360706E-6</c:v>
                </c:pt>
                <c:pt idx="71">
                  <c:v>1.2355080798442941E-6</c:v>
                </c:pt>
                <c:pt idx="72">
                  <c:v>1.0260977134635141E-6</c:v>
                </c:pt>
                <c:pt idx="73">
                  <c:v>8.4391461641075693E-7</c:v>
                </c:pt>
                <c:pt idx="74">
                  <c:v>7.0005009433771193E-7</c:v>
                </c:pt>
                <c:pt idx="75">
                  <c:v>5.7635377537224031E-7</c:v>
                </c:pt>
                <c:pt idx="76">
                  <c:v>4.7766543431748687E-7</c:v>
                </c:pt>
                <c:pt idx="77">
                  <c:v>3.9357881043144971E-7</c:v>
                </c:pt>
                <c:pt idx="78">
                  <c:v>3.2595714216654414E-7</c:v>
                </c:pt>
                <c:pt idx="79">
                  <c:v>2.6874300118606698E-7</c:v>
                </c:pt>
                <c:pt idx="80">
                  <c:v>2.2244858399744771E-7</c:v>
                </c:pt>
                <c:pt idx="81">
                  <c:v>1.8349065911138496E-7</c:v>
                </c:pt>
                <c:pt idx="82">
                  <c:v>1.5181821666487849E-7</c:v>
                </c:pt>
                <c:pt idx="83">
                  <c:v>1.2527621784386156E-7</c:v>
                </c:pt>
                <c:pt idx="84">
                  <c:v>1.036185501845921E-7</c:v>
                </c:pt>
                <c:pt idx="85">
                  <c:v>8.5527588566947088E-8</c:v>
                </c:pt>
                <c:pt idx="86">
                  <c:v>7.0723885414736287E-8</c:v>
                </c:pt>
                <c:pt idx="87">
                  <c:v>5.838894523435556E-8</c:v>
                </c:pt>
                <c:pt idx="88">
                  <c:v>4.827322541700596E-8</c:v>
                </c:pt>
                <c:pt idx="89">
                  <c:v>3.9860687195414357E-8</c:v>
                </c:pt>
                <c:pt idx="90">
                  <c:v>3.2950003614473644E-8</c:v>
                </c:pt>
                <c:pt idx="91">
                  <c:v>2.7211415343231238E-8</c:v>
                </c:pt>
                <c:pt idx="92">
                  <c:v>2.2491143170100258E-8</c:v>
                </c:pt>
                <c:pt idx="93">
                  <c:v>1.8575963878220136E-8</c:v>
                </c:pt>
                <c:pt idx="94">
                  <c:v>1.5352281224068065E-8</c:v>
                </c:pt>
                <c:pt idx="95">
                  <c:v>1.2680807515152992E-8</c:v>
                </c:pt>
                <c:pt idx="96">
                  <c:v>1.0479450196498874E-8</c:v>
                </c:pt>
                <c:pt idx="97">
                  <c:v>8.6564266865707395E-9</c:v>
                </c:pt>
                <c:pt idx="98">
                  <c:v>7.1533143852775538E-9</c:v>
                </c:pt>
                <c:pt idx="99">
                  <c:v>5.9091860293847276E-9</c:v>
                </c:pt>
                <c:pt idx="100">
                  <c:v>4.8829100762759481E-9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9B-4E6D-8D94-236C9C111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0086352"/>
        <c:axId val="640088752"/>
      </c:lineChart>
      <c:catAx>
        <c:axId val="640086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088752"/>
        <c:crosses val="autoZero"/>
        <c:auto val="1"/>
        <c:lblAlgn val="ctr"/>
        <c:lblOffset val="100"/>
        <c:noMultiLvlLbl val="0"/>
      </c:catAx>
      <c:valAx>
        <c:axId val="64008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08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(pidtry2!$D$10,pidtry2!$D$11:$D$110)</c:f>
              <c:numCache>
                <c:formatCode>0.000</c:formatCode>
                <c:ptCount val="101"/>
                <c:pt idx="0">
                  <c:v>0</c:v>
                </c:pt>
                <c:pt idx="1">
                  <c:v>2.6</c:v>
                </c:pt>
                <c:pt idx="2">
                  <c:v>0.85999999999999988</c:v>
                </c:pt>
                <c:pt idx="3">
                  <c:v>2.2460000000000004</c:v>
                </c:pt>
                <c:pt idx="4">
                  <c:v>1.3405999999999993</c:v>
                </c:pt>
                <c:pt idx="5">
                  <c:v>2.0816600000000007</c:v>
                </c:pt>
                <c:pt idx="6">
                  <c:v>1.6125259999999995</c:v>
                </c:pt>
                <c:pt idx="7">
                  <c:v>2.0102486000000006</c:v>
                </c:pt>
                <c:pt idx="8">
                  <c:v>1.7685404599999994</c:v>
                </c:pt>
                <c:pt idx="9">
                  <c:v>1.9830032060000007</c:v>
                </c:pt>
                <c:pt idx="10">
                  <c:v>1.8594245965999994</c:v>
                </c:pt>
                <c:pt idx="11">
                  <c:v>1.9757443832600001</c:v>
                </c:pt>
                <c:pt idx="12">
                  <c:v>1.913229196286</c:v>
                </c:pt>
                <c:pt idx="13">
                  <c:v>1.9767695495846</c:v>
                </c:pt>
                <c:pt idx="14">
                  <c:v>1.9456144727300599</c:v>
                </c:pt>
                <c:pt idx="15">
                  <c:v>1.9806231770237659</c:v>
                </c:pt>
                <c:pt idx="16">
                  <c:v>1.9654310013404126</c:v>
                </c:pt>
                <c:pt idx="17">
                  <c:v>1.984917006348301</c:v>
                </c:pt>
                <c:pt idx="18">
                  <c:v>1.9777503014390776</c:v>
                </c:pt>
                <c:pt idx="19">
                  <c:v>1.9887252339528882</c:v>
                </c:pt>
                <c:pt idx="20">
                  <c:v>1.9855227042587353</c:v>
                </c:pt>
                <c:pt idx="21">
                  <c:v>1.9917874107976066</c:v>
                </c:pt>
                <c:pt idx="22">
                  <c:v>1.9904923636350018</c:v>
                </c:pt>
                <c:pt idx="23">
                  <c:v>1.994121682842064</c:v>
                </c:pt>
                <c:pt idx="24">
                  <c:v>1.9937075864652076</c:v>
                </c:pt>
                <c:pt idx="25">
                  <c:v>1.9958437683517594</c:v>
                </c:pt>
                <c:pt idx="26">
                  <c:v>1.9958089287143004</c:v>
                </c:pt>
                <c:pt idx="27">
                  <c:v>1.9970871538824855</c:v>
                </c:pt>
                <c:pt idx="28">
                  <c:v>1.9971940726168289</c:v>
                </c:pt>
                <c:pt idx="29">
                  <c:v>1.997971699591174</c:v>
                </c:pt>
                <c:pt idx="30">
                  <c:v>1.998113613529215</c:v>
                </c:pt>
                <c:pt idx="31">
                  <c:v>1.9985943811076257</c:v>
                </c:pt>
                <c:pt idx="32">
                  <c:v>1.9987276062282917</c:v>
                </c:pt>
                <c:pt idx="33">
                  <c:v>1.9990293892874047</c:v>
                </c:pt>
                <c:pt idx="34">
                  <c:v>1.9991395026657155</c:v>
                </c:pt>
                <c:pt idx="35">
                  <c:v>1.9993315838390144</c:v>
                </c:pt>
                <c:pt idx="36">
                  <c:v>1.9994168599833306</c:v>
                </c:pt>
                <c:pt idx="37">
                  <c:v>1.9995406363017418</c:v>
                </c:pt>
                <c:pt idx="38">
                  <c:v>1.9996041796201725</c:v>
                </c:pt>
                <c:pt idx="39">
                  <c:v>1.9996847997430625</c:v>
                </c:pt>
                <c:pt idx="40">
                  <c:v>1.9997309877464098</c:v>
                </c:pt>
                <c:pt idx="41">
                  <c:v>1.9997839786204785</c:v>
                </c:pt>
                <c:pt idx="42">
                  <c:v>1.9998169905098937</c:v>
                </c:pt>
                <c:pt idx="43">
                  <c:v>1.9998520862232763</c:v>
                </c:pt>
                <c:pt idx="44">
                  <c:v>1.9998754029282639</c:v>
                </c:pt>
                <c:pt idx="45">
                  <c:v>1.9998987920267921</c:v>
                </c:pt>
                <c:pt idx="46">
                  <c:v>1.9999151209596375</c:v>
                </c:pt>
                <c:pt idx="47">
                  <c:v>1.9999307873120391</c:v>
                </c:pt>
                <c:pt idx="48">
                  <c:v>1.9999421513069864</c:v>
                </c:pt>
                <c:pt idx="49">
                  <c:v>1.9999526875179223</c:v>
                </c:pt>
                <c:pt idx="50">
                  <c:v>1.9999605595359837</c:v>
                </c:pt>
                <c:pt idx="51">
                  <c:v>1.9999676684643519</c:v>
                </c:pt>
                <c:pt idx="52">
                  <c:v>1.9999731025680252</c:v>
                </c:pt>
                <c:pt idx="53">
                  <c:v>1.9999779113354139</c:v>
                </c:pt>
                <c:pt idx="54">
                  <c:v>1.9999816526743566</c:v>
                </c:pt>
                <c:pt idx="55">
                  <c:v>1.9999849120686839</c:v>
                </c:pt>
                <c:pt idx="56">
                  <c:v>1.9999874828114825</c:v>
                </c:pt>
                <c:pt idx="57">
                  <c:v>1.9999896955223586</c:v>
                </c:pt>
                <c:pt idx="58">
                  <c:v>1.9999914592391255</c:v>
                </c:pt>
                <c:pt idx="59">
                  <c:v>1.9999929632373274</c:v>
                </c:pt>
                <c:pt idx="60">
                  <c:v>1.9999941718672081</c:v>
                </c:pt>
                <c:pt idx="61">
                  <c:v>1.9999951951291175</c:v>
                </c:pt>
                <c:pt idx="62">
                  <c:v>1.9999960226332365</c:v>
                </c:pt>
                <c:pt idx="63">
                  <c:v>1.9999967193407941</c:v>
                </c:pt>
                <c:pt idx="64">
                  <c:v>1.9999972855140211</c:v>
                </c:pt>
                <c:pt idx="65">
                  <c:v>1.9999977601558787</c:v>
                </c:pt>
                <c:pt idx="66">
                  <c:v>1.9999981473240007</c:v>
                </c:pt>
                <c:pt idx="67">
                  <c:v>1.9999984708259271</c:v>
                </c:pt>
                <c:pt idx="68">
                  <c:v>1.9999987354769933</c:v>
                </c:pt>
                <c:pt idx="69">
                  <c:v>1.9999989560432556</c:v>
                </c:pt>
                <c:pt idx="70">
                  <c:v>1.9999991368905217</c:v>
                </c:pt>
                <c:pt idx="71">
                  <c:v>1.9999992873150054</c:v>
                </c:pt>
                <c:pt idx="72">
                  <c:v>1.9999994108658135</c:v>
                </c:pt>
                <c:pt idx="73">
                  <c:v>1.9999995134755848</c:v>
                </c:pt>
                <c:pt idx="74">
                  <c:v>1.9999995978670464</c:v>
                </c:pt>
                <c:pt idx="75">
                  <c:v>1.9999996678720557</c:v>
                </c:pt>
                <c:pt idx="76">
                  <c:v>1.9999997255074333</c:v>
                </c:pt>
                <c:pt idx="77">
                  <c:v>1.9999997732739767</c:v>
                </c:pt>
                <c:pt idx="78">
                  <c:v>1.9999998126318577</c:v>
                </c:pt>
                <c:pt idx="79">
                  <c:v>1.9999998452275718</c:v>
                </c:pt>
                <c:pt idx="80">
                  <c:v>1.9999998721018719</c:v>
                </c:pt>
                <c:pt idx="81">
                  <c:v>1.9999998943467303</c:v>
                </c:pt>
                <c:pt idx="82">
                  <c:v>1.9999999126957961</c:v>
                </c:pt>
                <c:pt idx="83">
                  <c:v>1.9999999278776177</c:v>
                </c:pt>
                <c:pt idx="84">
                  <c:v>1.9999999404052395</c:v>
                </c:pt>
                <c:pt idx="85">
                  <c:v>1.9999999507670945</c:v>
                </c:pt>
                <c:pt idx="86">
                  <c:v>1.9999999593198534</c:v>
                </c:pt>
                <c:pt idx="87">
                  <c:v>1.9999999663922419</c:v>
                </c:pt>
                <c:pt idx="88">
                  <c:v>1.9999999722311363</c:v>
                </c:pt>
                <c:pt idx="89">
                  <c:v>1.9999999770584589</c:v>
                </c:pt>
                <c:pt idx="90">
                  <c:v>1.9999999810445277</c:v>
                </c:pt>
                <c:pt idx="91">
                  <c:v>1.999999984339528</c:v>
                </c:pt>
                <c:pt idx="92">
                  <c:v>1.9999999870606695</c:v>
                </c:pt>
                <c:pt idx="93">
                  <c:v>1.9999999893097837</c:v>
                </c:pt>
                <c:pt idx="94">
                  <c:v>1.99999999116738</c:v>
                </c:pt>
                <c:pt idx="95">
                  <c:v>1.9999999927026082</c:v>
                </c:pt>
                <c:pt idx="96">
                  <c:v>1.9999999939706889</c:v>
                </c:pt>
                <c:pt idx="97">
                  <c:v>1.999999995018634</c:v>
                </c:pt>
                <c:pt idx="98">
                  <c:v>1.9999999958842767</c:v>
                </c:pt>
                <c:pt idx="99">
                  <c:v>1.999999996599608</c:v>
                </c:pt>
                <c:pt idx="100">
                  <c:v>1.9999999971905267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C1-4942-8F8D-3E1F31A4F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0517264"/>
        <c:axId val="640518224"/>
      </c:lineChart>
      <c:catAx>
        <c:axId val="640517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518224"/>
        <c:crosses val="autoZero"/>
        <c:auto val="1"/>
        <c:lblAlgn val="ctr"/>
        <c:lblOffset val="100"/>
        <c:noMultiLvlLbl val="0"/>
      </c:catAx>
      <c:valAx>
        <c:axId val="64051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51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(pidtry2!$E$10,pidtry2!$E$11,pidtry2!$E$12:$E$110)</c:f>
              <c:numCache>
                <c:formatCode>0.000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0.26</c:v>
                </c:pt>
                <c:pt idx="3">
                  <c:v>0.34599999999999997</c:v>
                </c:pt>
                <c:pt idx="4">
                  <c:v>0.5706</c:v>
                </c:pt>
                <c:pt idx="5">
                  <c:v>0.70465999999999995</c:v>
                </c:pt>
                <c:pt idx="6">
                  <c:v>0.91282600000000003</c:v>
                </c:pt>
                <c:pt idx="7">
                  <c:v>1.0740786</c:v>
                </c:pt>
                <c:pt idx="8">
                  <c:v>1.27510346</c:v>
                </c:pt>
                <c:pt idx="9">
                  <c:v>1.4519575059999998</c:v>
                </c:pt>
                <c:pt idx="10">
                  <c:v>1.6502578265999999</c:v>
                </c:pt>
                <c:pt idx="11">
                  <c:v>1.8362002862599998</c:v>
                </c:pt>
                <c:pt idx="12">
                  <c:v>2.0337747245859998</c:v>
                </c:pt>
                <c:pt idx="13">
                  <c:v>2.2250976442145998</c:v>
                </c:pt>
                <c:pt idx="14">
                  <c:v>2.4227745991730596</c:v>
                </c:pt>
                <c:pt idx="15">
                  <c:v>2.6173360464460655</c:v>
                </c:pt>
                <c:pt idx="16">
                  <c:v>2.8153983641484421</c:v>
                </c:pt>
                <c:pt idx="17">
                  <c:v>3.0119414642824833</c:v>
                </c:pt>
                <c:pt idx="18">
                  <c:v>3.2104331649173137</c:v>
                </c:pt>
                <c:pt idx="19">
                  <c:v>3.4082081950612215</c:v>
                </c:pt>
                <c:pt idx="20">
                  <c:v>3.6070807184565101</c:v>
                </c:pt>
                <c:pt idx="21">
                  <c:v>3.8056329888823837</c:v>
                </c:pt>
                <c:pt idx="22">
                  <c:v>4.0048117299621442</c:v>
                </c:pt>
                <c:pt idx="23">
                  <c:v>4.2038609663256441</c:v>
                </c:pt>
                <c:pt idx="24">
                  <c:v>4.4032731346098508</c:v>
                </c:pt>
                <c:pt idx="25">
                  <c:v>4.6026438932563716</c:v>
                </c:pt>
                <c:pt idx="26">
                  <c:v>4.8022282700915477</c:v>
                </c:pt>
                <c:pt idx="27">
                  <c:v>5.001809162962978</c:v>
                </c:pt>
                <c:pt idx="28">
                  <c:v>5.2015178783512264</c:v>
                </c:pt>
                <c:pt idx="29">
                  <c:v>5.4012372856129094</c:v>
                </c:pt>
                <c:pt idx="30">
                  <c:v>5.6010344555720266</c:v>
                </c:pt>
                <c:pt idx="31">
                  <c:v>5.8008458169249479</c:v>
                </c:pt>
                <c:pt idx="32">
                  <c:v>6.0007052550357107</c:v>
                </c:pt>
                <c:pt idx="33">
                  <c:v>6.2005780156585395</c:v>
                </c:pt>
                <c:pt idx="34">
                  <c:v>6.4004809545872803</c:v>
                </c:pt>
                <c:pt idx="35">
                  <c:v>6.6003949048538519</c:v>
                </c:pt>
                <c:pt idx="36">
                  <c:v>6.8003280632377532</c:v>
                </c:pt>
                <c:pt idx="37">
                  <c:v>7.0002697492360859</c:v>
                </c:pt>
                <c:pt idx="38">
                  <c:v>7.2002238128662599</c:v>
                </c:pt>
                <c:pt idx="39">
                  <c:v>7.4001842308282768</c:v>
                </c:pt>
                <c:pt idx="40">
                  <c:v>7.6001527108025835</c:v>
                </c:pt>
                <c:pt idx="41">
                  <c:v>7.8001258095772243</c:v>
                </c:pt>
                <c:pt idx="42">
                  <c:v>8.0001042074392714</c:v>
                </c:pt>
                <c:pt idx="43">
                  <c:v>8.2000859064902603</c:v>
                </c:pt>
                <c:pt idx="44">
                  <c:v>8.4000711151125884</c:v>
                </c:pt>
                <c:pt idx="45">
                  <c:v>8.6000586554054141</c:v>
                </c:pt>
                <c:pt idx="46">
                  <c:v>8.8000485346080932</c:v>
                </c:pt>
                <c:pt idx="47">
                  <c:v>9.0000400467040578</c:v>
                </c:pt>
                <c:pt idx="48">
                  <c:v>9.2000331254352616</c:v>
                </c:pt>
                <c:pt idx="49">
                  <c:v>9.4000273405659609</c:v>
                </c:pt>
                <c:pt idx="50">
                  <c:v>9.6000226093177528</c:v>
                </c:pt>
                <c:pt idx="51">
                  <c:v>9.8000186652713506</c:v>
                </c:pt>
                <c:pt idx="52">
                  <c:v>10.000015432117786</c:v>
                </c:pt>
                <c:pt idx="53">
                  <c:v>10.200012742374589</c:v>
                </c:pt>
                <c:pt idx="54">
                  <c:v>10.40001053350813</c:v>
                </c:pt>
                <c:pt idx="55">
                  <c:v>10.600008698775566</c:v>
                </c:pt>
                <c:pt idx="56">
                  <c:v>10.800007189982434</c:v>
                </c:pt>
                <c:pt idx="57">
                  <c:v>11.000005938263582</c:v>
                </c:pt>
                <c:pt idx="58">
                  <c:v>11.200004907815819</c:v>
                </c:pt>
                <c:pt idx="59">
                  <c:v>11.400004053739732</c:v>
                </c:pt>
                <c:pt idx="60">
                  <c:v>11.600003350063465</c:v>
                </c:pt>
                <c:pt idx="61">
                  <c:v>11.800002767250186</c:v>
                </c:pt>
                <c:pt idx="62">
                  <c:v>12.000002286763097</c:v>
                </c:pt>
                <c:pt idx="63">
                  <c:v>12.200001889026421</c:v>
                </c:pt>
                <c:pt idx="64">
                  <c:v>12.400001560960501</c:v>
                </c:pt>
                <c:pt idx="65">
                  <c:v>12.600001289511903</c:v>
                </c:pt>
                <c:pt idx="66">
                  <c:v>12.800001065527491</c:v>
                </c:pt>
                <c:pt idx="67">
                  <c:v>13.000000880259892</c:v>
                </c:pt>
                <c:pt idx="68">
                  <c:v>13.200000727342484</c:v>
                </c:pt>
                <c:pt idx="69">
                  <c:v>13.400000600890184</c:v>
                </c:pt>
                <c:pt idx="70">
                  <c:v>13.600000496494509</c:v>
                </c:pt>
                <c:pt idx="71">
                  <c:v>13.800000410183561</c:v>
                </c:pt>
                <c:pt idx="72">
                  <c:v>14.000000338915061</c:v>
                </c:pt>
                <c:pt idx="73">
                  <c:v>14.200000280001642</c:v>
                </c:pt>
                <c:pt idx="74">
                  <c:v>14.400000231349201</c:v>
                </c:pt>
                <c:pt idx="75">
                  <c:v>14.600000191135907</c:v>
                </c:pt>
                <c:pt idx="76">
                  <c:v>14.800000157923112</c:v>
                </c:pt>
                <c:pt idx="77">
                  <c:v>15.000000130473856</c:v>
                </c:pt>
                <c:pt idx="78">
                  <c:v>15.200000107801253</c:v>
                </c:pt>
                <c:pt idx="79">
                  <c:v>15.40000008906444</c:v>
                </c:pt>
                <c:pt idx="80">
                  <c:v>15.600000073587196</c:v>
                </c:pt>
                <c:pt idx="81">
                  <c:v>15.800000060797384</c:v>
                </c:pt>
                <c:pt idx="82">
                  <c:v>16.000000050232057</c:v>
                </c:pt>
                <c:pt idx="83">
                  <c:v>16.200000041501635</c:v>
                </c:pt>
                <c:pt idx="84">
                  <c:v>16.400000034289398</c:v>
                </c:pt>
                <c:pt idx="85">
                  <c:v>16.600000028329923</c:v>
                </c:pt>
                <c:pt idx="86">
                  <c:v>16.800000023406632</c:v>
                </c:pt>
                <c:pt idx="87">
                  <c:v>17.000000019338618</c:v>
                </c:pt>
                <c:pt idx="88">
                  <c:v>17.200000015977842</c:v>
                </c:pt>
                <c:pt idx="89">
                  <c:v>17.400000013200955</c:v>
                </c:pt>
                <c:pt idx="90">
                  <c:v>17.6000000109068</c:v>
                </c:pt>
                <c:pt idx="91">
                  <c:v>17.800000009011253</c:v>
                </c:pt>
                <c:pt idx="92">
                  <c:v>18.000000007445205</c:v>
                </c:pt>
                <c:pt idx="93">
                  <c:v>18.200000006151271</c:v>
                </c:pt>
                <c:pt idx="94">
                  <c:v>18.400000005082248</c:v>
                </c:pt>
                <c:pt idx="95">
                  <c:v>18.600000004198986</c:v>
                </c:pt>
                <c:pt idx="96">
                  <c:v>18.800000003469247</c:v>
                </c:pt>
                <c:pt idx="97">
                  <c:v>19.000000002866315</c:v>
                </c:pt>
                <c:pt idx="98">
                  <c:v>19.200000002368178</c:v>
                </c:pt>
                <c:pt idx="99">
                  <c:v>19.400000001956606</c:v>
                </c:pt>
                <c:pt idx="100">
                  <c:v>19.600000001616568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0D-4B88-90A3-600E8AAC6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0516304"/>
        <c:axId val="640519664"/>
      </c:lineChart>
      <c:catAx>
        <c:axId val="640516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519664"/>
        <c:crosses val="autoZero"/>
        <c:auto val="1"/>
        <c:lblAlgn val="ctr"/>
        <c:lblOffset val="100"/>
        <c:noMultiLvlLbl val="0"/>
      </c:catAx>
      <c:valAx>
        <c:axId val="64051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51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12</xdr:col>
      <xdr:colOff>447675</xdr:colOff>
      <xdr:row>17</xdr:row>
      <xdr:rowOff>15874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D42CB5B-F83C-6B5B-C97D-020842AAD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22225</xdr:colOff>
      <xdr:row>19</xdr:row>
      <xdr:rowOff>171450</xdr:rowOff>
    </xdr:from>
    <xdr:to>
      <xdr:col>12</xdr:col>
      <xdr:colOff>501650</xdr:colOff>
      <xdr:row>30</xdr:row>
      <xdr:rowOff>177800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DF1E4B0-F113-AD05-465A-981ABE68F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9525</xdr:colOff>
      <xdr:row>38</xdr:row>
      <xdr:rowOff>57150</xdr:rowOff>
    </xdr:from>
    <xdr:to>
      <xdr:col>13</xdr:col>
      <xdr:colOff>95250</xdr:colOff>
      <xdr:row>51</xdr:row>
      <xdr:rowOff>50800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57F0609-D3C3-389C-F273-63E2DC36F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22225</xdr:colOff>
      <xdr:row>37</xdr:row>
      <xdr:rowOff>120650</xdr:rowOff>
    </xdr:from>
    <xdr:to>
      <xdr:col>13</xdr:col>
      <xdr:colOff>107950</xdr:colOff>
      <xdr:row>50</xdr:row>
      <xdr:rowOff>114300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C3B0E98-6E12-0FA2-0675-9F9AB0C89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14</xdr:row>
      <xdr:rowOff>0</xdr:rowOff>
    </xdr:from>
    <xdr:to>
      <xdr:col>15</xdr:col>
      <xdr:colOff>304800</xdr:colOff>
      <xdr:row>28</xdr:row>
      <xdr:rowOff>165100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5AD4D786-D5FE-5671-BB8F-357C95E8C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31</xdr:row>
      <xdr:rowOff>19050</xdr:rowOff>
    </xdr:from>
    <xdr:to>
      <xdr:col>15</xdr:col>
      <xdr:colOff>304800</xdr:colOff>
      <xdr:row>46</xdr:row>
      <xdr:rowOff>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7D46139B-E713-A94A-3877-A17C2791D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48</xdr:row>
      <xdr:rowOff>19050</xdr:rowOff>
    </xdr:from>
    <xdr:to>
      <xdr:col>15</xdr:col>
      <xdr:colOff>304800</xdr:colOff>
      <xdr:row>63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BD67CA5D-1C11-81B3-5C95-DBBAEF147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BD612-7974-4F24-BDE7-11CD1EF861A1}">
  <dimension ref="A1:G110"/>
  <sheetViews>
    <sheetView tabSelected="1" topLeftCell="A15" zoomScale="83" workbookViewId="0">
      <selection activeCell="F2" sqref="F2"/>
    </sheetView>
  </sheetViews>
  <sheetFormatPr defaultRowHeight="14.5" x14ac:dyDescent="0.35"/>
  <cols>
    <col min="1" max="1" width="8.7265625" customWidth="1"/>
    <col min="2" max="2" width="14.6328125" customWidth="1"/>
    <col min="3" max="4" width="8.7265625" customWidth="1"/>
    <col min="6" max="6" width="8.7265625" customWidth="1"/>
  </cols>
  <sheetData>
    <row r="1" spans="1:7" x14ac:dyDescent="0.35">
      <c r="A1" s="5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</row>
    <row r="2" spans="1:7" x14ac:dyDescent="0.35">
      <c r="A2" s="6"/>
      <c r="B2" s="1">
        <v>1</v>
      </c>
      <c r="C2">
        <v>-10</v>
      </c>
      <c r="D2">
        <v>-1</v>
      </c>
      <c r="E2">
        <v>0.1</v>
      </c>
      <c r="F2">
        <v>5</v>
      </c>
    </row>
    <row r="3" spans="1:7" ht="14.5" customHeight="1" x14ac:dyDescent="0.35">
      <c r="A3" s="5" t="s">
        <v>5</v>
      </c>
      <c r="B3" t="s">
        <v>6</v>
      </c>
      <c r="C3" t="s">
        <v>7</v>
      </c>
      <c r="D3" s="5" t="s">
        <v>13</v>
      </c>
      <c r="E3" t="s">
        <v>14</v>
      </c>
    </row>
    <row r="4" spans="1:7" x14ac:dyDescent="0.35">
      <c r="A4" s="6"/>
      <c r="B4">
        <v>0</v>
      </c>
      <c r="C4">
        <v>0</v>
      </c>
      <c r="D4" s="6"/>
      <c r="E4">
        <v>5</v>
      </c>
    </row>
    <row r="9" spans="1:7" s="2" customFormat="1" ht="15.5" x14ac:dyDescent="0.35">
      <c r="A9" s="2" t="s">
        <v>8</v>
      </c>
      <c r="B9" s="2" t="s">
        <v>9</v>
      </c>
      <c r="C9" s="4" t="s">
        <v>10</v>
      </c>
      <c r="D9" s="4" t="s">
        <v>11</v>
      </c>
      <c r="E9" s="4" t="s">
        <v>12</v>
      </c>
      <c r="F9" s="4" t="s">
        <v>15</v>
      </c>
    </row>
    <row r="10" spans="1:7" x14ac:dyDescent="0.35">
      <c r="A10" s="3">
        <v>0</v>
      </c>
      <c r="B10" s="3">
        <f>$F10*$F$2-$D$2*$E$4-$C$2</f>
        <v>40</v>
      </c>
      <c r="C10" s="3">
        <f>$D$2*$D10+$C$2+$B10</f>
        <v>30</v>
      </c>
      <c r="D10" s="3">
        <v>0</v>
      </c>
      <c r="E10" s="3">
        <v>0</v>
      </c>
      <c r="F10" s="3">
        <f>$E$4-$D10</f>
        <v>5</v>
      </c>
    </row>
    <row r="11" spans="1:7" x14ac:dyDescent="0.35">
      <c r="A11" s="3">
        <v>0.1</v>
      </c>
      <c r="B11" s="3">
        <f t="shared" ref="B11:B74" si="0">$F11*$F$2-$D$2*$E$4-$C$2</f>
        <v>25</v>
      </c>
      <c r="C11" s="3">
        <f t="shared" ref="C11:C74" si="1">$D$2*$D11+$C$2+$B11</f>
        <v>12</v>
      </c>
      <c r="D11" s="3">
        <f>$D10+$C10*$E$2</f>
        <v>3</v>
      </c>
      <c r="E11" s="3">
        <f>$E10+$D10*$E$2</f>
        <v>0</v>
      </c>
      <c r="F11" s="3">
        <f t="shared" ref="F11:F74" si="2">$E$4-$D11</f>
        <v>2</v>
      </c>
      <c r="G11" s="3"/>
    </row>
    <row r="12" spans="1:7" x14ac:dyDescent="0.35">
      <c r="A12" s="3">
        <v>0.2</v>
      </c>
      <c r="B12" s="3">
        <f t="shared" si="0"/>
        <v>19</v>
      </c>
      <c r="C12" s="3">
        <f t="shared" si="1"/>
        <v>4.8000000000000007</v>
      </c>
      <c r="D12" s="3">
        <f t="shared" ref="D12:D75" si="3">$D11+$C11*$E$2</f>
        <v>4.2</v>
      </c>
      <c r="E12" s="3">
        <f t="shared" ref="E12:E75" si="4">$E11+$D11*$E$2</f>
        <v>0.30000000000000004</v>
      </c>
      <c r="F12" s="3">
        <f t="shared" si="2"/>
        <v>0.79999999999999982</v>
      </c>
      <c r="G12" s="3"/>
    </row>
    <row r="13" spans="1:7" x14ac:dyDescent="0.35">
      <c r="A13" s="3">
        <v>0.3</v>
      </c>
      <c r="B13" s="3">
        <f t="shared" si="0"/>
        <v>16.599999999999998</v>
      </c>
      <c r="C13" s="3">
        <f t="shared" si="1"/>
        <v>1.9199999999999982</v>
      </c>
      <c r="D13" s="3">
        <f t="shared" si="3"/>
        <v>4.6800000000000006</v>
      </c>
      <c r="E13" s="3">
        <f t="shared" si="4"/>
        <v>0.72000000000000008</v>
      </c>
      <c r="F13" s="3">
        <f t="shared" si="2"/>
        <v>0.3199999999999994</v>
      </c>
      <c r="G13" s="3"/>
    </row>
    <row r="14" spans="1:7" x14ac:dyDescent="0.35">
      <c r="A14" s="3">
        <v>0.4</v>
      </c>
      <c r="B14" s="3">
        <f t="shared" si="0"/>
        <v>15.639999999999997</v>
      </c>
      <c r="C14" s="3">
        <f t="shared" si="1"/>
        <v>0.76799999999999713</v>
      </c>
      <c r="D14" s="3">
        <f t="shared" si="3"/>
        <v>4.8720000000000008</v>
      </c>
      <c r="E14" s="3">
        <f t="shared" si="4"/>
        <v>1.1880000000000002</v>
      </c>
      <c r="F14" s="3">
        <f t="shared" si="2"/>
        <v>0.12799999999999923</v>
      </c>
      <c r="G14" s="3"/>
    </row>
    <row r="15" spans="1:7" x14ac:dyDescent="0.35">
      <c r="A15" s="3">
        <v>0.5</v>
      </c>
      <c r="B15" s="3">
        <f t="shared" si="0"/>
        <v>15.255999999999998</v>
      </c>
      <c r="C15" s="3">
        <f t="shared" si="1"/>
        <v>0.30719999999999814</v>
      </c>
      <c r="D15" s="3">
        <f t="shared" si="3"/>
        <v>4.9488000000000003</v>
      </c>
      <c r="E15" s="3">
        <f t="shared" si="4"/>
        <v>1.6752000000000002</v>
      </c>
      <c r="F15" s="3">
        <f t="shared" si="2"/>
        <v>5.119999999999969E-2</v>
      </c>
      <c r="G15" s="3"/>
    </row>
    <row r="16" spans="1:7" x14ac:dyDescent="0.35">
      <c r="A16" s="3">
        <v>0.6</v>
      </c>
      <c r="B16" s="3">
        <f t="shared" si="0"/>
        <v>15.102399999999999</v>
      </c>
      <c r="C16" s="3">
        <f t="shared" si="1"/>
        <v>0.12287999999999855</v>
      </c>
      <c r="D16" s="3">
        <f t="shared" si="3"/>
        <v>4.9795199999999999</v>
      </c>
      <c r="E16" s="3">
        <f t="shared" si="4"/>
        <v>2.1700800000000005</v>
      </c>
      <c r="F16" s="3">
        <f t="shared" si="2"/>
        <v>2.0480000000000054E-2</v>
      </c>
      <c r="G16" s="3"/>
    </row>
    <row r="17" spans="1:7" x14ac:dyDescent="0.35">
      <c r="A17" s="3">
        <v>0.7</v>
      </c>
      <c r="B17" s="3">
        <f t="shared" si="0"/>
        <v>15.040960000000002</v>
      </c>
      <c r="C17" s="3">
        <f t="shared" si="1"/>
        <v>4.9152000000002971E-2</v>
      </c>
      <c r="D17" s="3">
        <f t="shared" si="3"/>
        <v>4.9918079999999998</v>
      </c>
      <c r="E17" s="3">
        <f t="shared" si="4"/>
        <v>2.6680320000000006</v>
      </c>
      <c r="F17" s="3">
        <f t="shared" si="2"/>
        <v>8.1920000000001991E-3</v>
      </c>
      <c r="G17" s="3"/>
    </row>
    <row r="18" spans="1:7" x14ac:dyDescent="0.35">
      <c r="A18" s="3">
        <v>0.8</v>
      </c>
      <c r="B18" s="3">
        <f t="shared" si="0"/>
        <v>15.016384</v>
      </c>
      <c r="C18" s="3">
        <f t="shared" si="1"/>
        <v>1.9660800000000478E-2</v>
      </c>
      <c r="D18" s="3">
        <f t="shared" si="3"/>
        <v>4.9967231999999999</v>
      </c>
      <c r="E18" s="3">
        <f t="shared" si="4"/>
        <v>3.1672128000000006</v>
      </c>
      <c r="F18" s="3">
        <f t="shared" si="2"/>
        <v>3.2768000000000796E-3</v>
      </c>
      <c r="G18" s="3"/>
    </row>
    <row r="19" spans="1:7" x14ac:dyDescent="0.35">
      <c r="A19" s="3">
        <v>0.9</v>
      </c>
      <c r="B19" s="3">
        <f t="shared" si="0"/>
        <v>15.0065536</v>
      </c>
      <c r="C19" s="3">
        <f t="shared" si="1"/>
        <v>7.8643199999994806E-3</v>
      </c>
      <c r="D19" s="3">
        <f t="shared" si="3"/>
        <v>4.9986892799999998</v>
      </c>
      <c r="E19" s="3">
        <f t="shared" si="4"/>
        <v>3.6668851200000008</v>
      </c>
      <c r="F19" s="3">
        <f t="shared" si="2"/>
        <v>1.3107200000002095E-3</v>
      </c>
      <c r="G19" s="3"/>
    </row>
    <row r="20" spans="1:7" x14ac:dyDescent="0.35">
      <c r="A20" s="3">
        <v>1</v>
      </c>
      <c r="B20" s="3">
        <f t="shared" si="0"/>
        <v>15.002621440000002</v>
      </c>
      <c r="C20" s="3">
        <f t="shared" si="1"/>
        <v>3.145728000003345E-3</v>
      </c>
      <c r="D20" s="3">
        <f t="shared" si="3"/>
        <v>4.9994757119999997</v>
      </c>
      <c r="E20" s="3">
        <f t="shared" si="4"/>
        <v>4.1667540480000005</v>
      </c>
      <c r="F20" s="3">
        <f t="shared" si="2"/>
        <v>5.2428800000026143E-4</v>
      </c>
      <c r="G20" s="3"/>
    </row>
    <row r="21" spans="1:7" x14ac:dyDescent="0.35">
      <c r="A21" s="3">
        <v>1.1000000000000001</v>
      </c>
      <c r="B21" s="3">
        <f t="shared" si="0"/>
        <v>15.001048575999999</v>
      </c>
      <c r="C21" s="3">
        <f t="shared" si="1"/>
        <v>1.2582911999992064E-3</v>
      </c>
      <c r="D21" s="3">
        <f t="shared" si="3"/>
        <v>4.9997902848000004</v>
      </c>
      <c r="E21" s="3">
        <f t="shared" si="4"/>
        <v>4.6667016192000004</v>
      </c>
      <c r="F21" s="3">
        <f t="shared" si="2"/>
        <v>2.0971519999957167E-4</v>
      </c>
      <c r="G21" s="3"/>
    </row>
    <row r="22" spans="1:7" x14ac:dyDescent="0.35">
      <c r="A22" s="3">
        <v>1.2</v>
      </c>
      <c r="B22" s="3">
        <f t="shared" si="0"/>
        <v>15.000419430399997</v>
      </c>
      <c r="C22" s="3">
        <f t="shared" si="1"/>
        <v>5.0331647999612983E-4</v>
      </c>
      <c r="D22" s="3">
        <f t="shared" si="3"/>
        <v>4.9999161139200003</v>
      </c>
      <c r="E22" s="3">
        <f t="shared" si="4"/>
        <v>5.1666806476800007</v>
      </c>
      <c r="F22" s="3">
        <f t="shared" si="2"/>
        <v>8.3886079999651031E-5</v>
      </c>
      <c r="G22" s="3"/>
    </row>
    <row r="23" spans="1:7" x14ac:dyDescent="0.35">
      <c r="A23" s="3">
        <v>1.3</v>
      </c>
      <c r="B23" s="3">
        <f t="shared" si="0"/>
        <v>15.000167772160001</v>
      </c>
      <c r="C23" s="3">
        <f t="shared" si="1"/>
        <v>2.0132659200200465E-4</v>
      </c>
      <c r="D23" s="3">
        <f t="shared" si="3"/>
        <v>4.999966445568</v>
      </c>
      <c r="E23" s="3">
        <f t="shared" si="4"/>
        <v>5.6666722590720005</v>
      </c>
      <c r="F23" s="3">
        <f t="shared" si="2"/>
        <v>3.3554432000038048E-5</v>
      </c>
      <c r="G23" s="3"/>
    </row>
    <row r="24" spans="1:7" x14ac:dyDescent="0.35">
      <c r="A24" s="3">
        <v>1.4</v>
      </c>
      <c r="B24" s="3">
        <f t="shared" si="0"/>
        <v>15.000067108863998</v>
      </c>
      <c r="C24" s="3">
        <f t="shared" si="1"/>
        <v>8.0530636797249144E-5</v>
      </c>
      <c r="D24" s="3">
        <f t="shared" si="3"/>
        <v>4.9999865782272002</v>
      </c>
      <c r="E24" s="3">
        <f t="shared" si="4"/>
        <v>6.1666689036288007</v>
      </c>
      <c r="F24" s="3">
        <f t="shared" si="2"/>
        <v>1.3421772799837584E-5</v>
      </c>
      <c r="G24" s="3"/>
    </row>
    <row r="25" spans="1:7" x14ac:dyDescent="0.35">
      <c r="A25" s="3">
        <v>1.5</v>
      </c>
      <c r="B25" s="3">
        <f t="shared" si="0"/>
        <v>15.0000268435456</v>
      </c>
      <c r="C25" s="3">
        <f t="shared" si="1"/>
        <v>3.22122547196102E-5</v>
      </c>
      <c r="D25" s="3">
        <f t="shared" si="3"/>
        <v>4.9999946312908801</v>
      </c>
      <c r="E25" s="3">
        <f t="shared" si="4"/>
        <v>6.6666675614515203</v>
      </c>
      <c r="F25" s="3">
        <f t="shared" si="2"/>
        <v>5.3687091199350334E-6</v>
      </c>
      <c r="G25" s="3"/>
    </row>
    <row r="26" spans="1:7" x14ac:dyDescent="0.35">
      <c r="A26" s="3">
        <v>1.6</v>
      </c>
      <c r="B26" s="3">
        <f t="shared" si="0"/>
        <v>15.00001073741824</v>
      </c>
      <c r="C26" s="3">
        <f t="shared" si="1"/>
        <v>1.2884901888554623E-5</v>
      </c>
      <c r="D26" s="3">
        <f t="shared" si="3"/>
        <v>4.9999978525163522</v>
      </c>
      <c r="E26" s="3">
        <f t="shared" si="4"/>
        <v>7.1666670245806081</v>
      </c>
      <c r="F26" s="3">
        <f t="shared" si="2"/>
        <v>2.1474836477963777E-6</v>
      </c>
      <c r="G26" s="3"/>
    </row>
    <row r="27" spans="1:7" x14ac:dyDescent="0.35">
      <c r="A27" s="3">
        <v>1.7</v>
      </c>
      <c r="B27" s="3">
        <f t="shared" si="0"/>
        <v>15.000004294967294</v>
      </c>
      <c r="C27" s="3">
        <f t="shared" si="1"/>
        <v>5.153960753290221E-6</v>
      </c>
      <c r="D27" s="3">
        <f t="shared" si="3"/>
        <v>4.9999991410065414</v>
      </c>
      <c r="E27" s="3">
        <f t="shared" si="4"/>
        <v>7.6666668098322432</v>
      </c>
      <c r="F27" s="3">
        <f t="shared" si="2"/>
        <v>8.5899345858564402E-7</v>
      </c>
      <c r="G27" s="3"/>
    </row>
    <row r="28" spans="1:7" x14ac:dyDescent="0.35">
      <c r="A28" s="3">
        <v>1.8</v>
      </c>
      <c r="B28" s="3">
        <f t="shared" si="0"/>
        <v>15.000001717986917</v>
      </c>
      <c r="C28" s="3">
        <f t="shared" si="1"/>
        <v>2.0615843006055456E-6</v>
      </c>
      <c r="D28" s="3">
        <f t="shared" si="3"/>
        <v>4.9999996564026166</v>
      </c>
      <c r="E28" s="3">
        <f t="shared" si="4"/>
        <v>8.1666667239328969</v>
      </c>
      <c r="F28" s="3">
        <f t="shared" si="2"/>
        <v>3.4359738343425761E-7</v>
      </c>
      <c r="G28" s="3"/>
    </row>
    <row r="29" spans="1:7" x14ac:dyDescent="0.35">
      <c r="A29" s="3">
        <v>1.9</v>
      </c>
      <c r="B29" s="3">
        <f t="shared" si="0"/>
        <v>15.000000687194767</v>
      </c>
      <c r="C29" s="3">
        <f t="shared" si="1"/>
        <v>8.2463371953167552E-7</v>
      </c>
      <c r="D29" s="3">
        <f t="shared" si="3"/>
        <v>4.9999998625610464</v>
      </c>
      <c r="E29" s="3">
        <f t="shared" si="4"/>
        <v>8.6666666895731588</v>
      </c>
      <c r="F29" s="3">
        <f t="shared" si="2"/>
        <v>1.3743895355133873E-7</v>
      </c>
      <c r="G29" s="3"/>
    </row>
    <row r="30" spans="1:7" x14ac:dyDescent="0.35">
      <c r="A30" s="3">
        <v>2</v>
      </c>
      <c r="B30" s="3">
        <f t="shared" si="0"/>
        <v>15.000000274877907</v>
      </c>
      <c r="C30" s="3">
        <f t="shared" si="1"/>
        <v>3.2985348852321295E-7</v>
      </c>
      <c r="D30" s="3">
        <f t="shared" si="3"/>
        <v>4.9999999450244186</v>
      </c>
      <c r="E30" s="3">
        <f t="shared" si="4"/>
        <v>9.1666666758292639</v>
      </c>
      <c r="F30" s="3">
        <f t="shared" si="2"/>
        <v>5.4975581420535491E-8</v>
      </c>
      <c r="G30" s="3"/>
    </row>
    <row r="31" spans="1:7" x14ac:dyDescent="0.35">
      <c r="A31" s="3">
        <v>2.1</v>
      </c>
      <c r="B31" s="3">
        <f t="shared" si="0"/>
        <v>15.000000109951163</v>
      </c>
      <c r="C31" s="3">
        <f t="shared" si="1"/>
        <v>1.3194139469874244E-7</v>
      </c>
      <c r="D31" s="3">
        <f t="shared" si="3"/>
        <v>4.9999999780097673</v>
      </c>
      <c r="E31" s="3">
        <f t="shared" si="4"/>
        <v>9.6666666703317059</v>
      </c>
      <c r="F31" s="3">
        <f t="shared" si="2"/>
        <v>2.199023274584988E-8</v>
      </c>
      <c r="G31" s="3"/>
    </row>
    <row r="32" spans="1:7" x14ac:dyDescent="0.35">
      <c r="A32" s="3">
        <v>2.2000000000000002</v>
      </c>
      <c r="B32" s="3">
        <f t="shared" si="0"/>
        <v>15.000000043980467</v>
      </c>
      <c r="C32" s="3">
        <f t="shared" si="1"/>
        <v>5.2776560011125184E-8</v>
      </c>
      <c r="D32" s="3">
        <f t="shared" si="3"/>
        <v>4.9999999912039064</v>
      </c>
      <c r="E32" s="3">
        <f t="shared" si="4"/>
        <v>10.166666668132683</v>
      </c>
      <c r="F32" s="3">
        <f t="shared" si="2"/>
        <v>8.7960936312470039E-9</v>
      </c>
      <c r="G32" s="3"/>
    </row>
    <row r="33" spans="1:7" x14ac:dyDescent="0.35">
      <c r="A33" s="3">
        <v>2.2999999999999998</v>
      </c>
      <c r="B33" s="3">
        <f t="shared" si="0"/>
        <v>15.000000017592189</v>
      </c>
      <c r="C33" s="3">
        <f t="shared" si="1"/>
        <v>2.1110626136078281E-8</v>
      </c>
      <c r="D33" s="3">
        <f t="shared" si="3"/>
        <v>4.999999996481562</v>
      </c>
      <c r="E33" s="3">
        <f t="shared" si="4"/>
        <v>10.666666667253073</v>
      </c>
      <c r="F33" s="3">
        <f t="shared" si="2"/>
        <v>3.5184379854058534E-9</v>
      </c>
      <c r="G33" s="3"/>
    </row>
    <row r="34" spans="1:7" x14ac:dyDescent="0.35">
      <c r="A34" s="3">
        <v>2.4</v>
      </c>
      <c r="B34" s="3">
        <f t="shared" si="0"/>
        <v>15.000000007036878</v>
      </c>
      <c r="C34" s="3">
        <f t="shared" si="1"/>
        <v>8.4442532966022554E-9</v>
      </c>
      <c r="D34" s="3">
        <f t="shared" si="3"/>
        <v>4.9999999985926245</v>
      </c>
      <c r="E34" s="3">
        <f t="shared" si="4"/>
        <v>11.16666666690123</v>
      </c>
      <c r="F34" s="3">
        <f t="shared" si="2"/>
        <v>1.4073755494337092E-9</v>
      </c>
      <c r="G34" s="3"/>
    </row>
    <row r="35" spans="1:7" x14ac:dyDescent="0.35">
      <c r="A35" s="3">
        <v>2.5</v>
      </c>
      <c r="B35" s="3">
        <f t="shared" si="0"/>
        <v>15.000000002814753</v>
      </c>
      <c r="C35" s="3">
        <f t="shared" si="1"/>
        <v>3.3777034502691095E-9</v>
      </c>
      <c r="D35" s="3">
        <f t="shared" si="3"/>
        <v>4.9999999994370494</v>
      </c>
      <c r="E35" s="3">
        <f t="shared" si="4"/>
        <v>11.666666666760493</v>
      </c>
      <c r="F35" s="3">
        <f t="shared" si="2"/>
        <v>5.6295057504485158E-10</v>
      </c>
      <c r="G35" s="3"/>
    </row>
    <row r="36" spans="1:7" x14ac:dyDescent="0.35">
      <c r="A36" s="3">
        <v>2.6</v>
      </c>
      <c r="B36" s="3">
        <f t="shared" si="0"/>
        <v>15.000000001125899</v>
      </c>
      <c r="C36" s="3">
        <f t="shared" si="1"/>
        <v>1.3510792484794365E-9</v>
      </c>
      <c r="D36" s="3">
        <f t="shared" si="3"/>
        <v>4.9999999997748201</v>
      </c>
      <c r="E36" s="3">
        <f t="shared" si="4"/>
        <v>12.166666666704199</v>
      </c>
      <c r="F36" s="3">
        <f t="shared" si="2"/>
        <v>2.2517987474657275E-10</v>
      </c>
      <c r="G36" s="3"/>
    </row>
    <row r="37" spans="1:7" x14ac:dyDescent="0.35">
      <c r="A37" s="3">
        <v>2.7</v>
      </c>
      <c r="B37" s="3">
        <f t="shared" si="0"/>
        <v>15.00000000045036</v>
      </c>
      <c r="C37" s="3">
        <f t="shared" si="1"/>
        <v>5.404316993917746E-10</v>
      </c>
      <c r="D37" s="3">
        <f t="shared" si="3"/>
        <v>4.9999999999099281</v>
      </c>
      <c r="E37" s="3">
        <f t="shared" si="4"/>
        <v>12.666666666681682</v>
      </c>
      <c r="F37" s="3">
        <f t="shared" si="2"/>
        <v>9.00719498986291E-11</v>
      </c>
      <c r="G37" s="3"/>
    </row>
    <row r="38" spans="1:7" x14ac:dyDescent="0.35">
      <c r="A38" s="3">
        <v>2.8</v>
      </c>
      <c r="B38" s="3">
        <f t="shared" si="0"/>
        <v>15.000000000180144</v>
      </c>
      <c r="C38" s="3">
        <f t="shared" si="1"/>
        <v>2.1617196921397408E-10</v>
      </c>
      <c r="D38" s="3">
        <f t="shared" si="3"/>
        <v>4.999999999963971</v>
      </c>
      <c r="E38" s="3">
        <f t="shared" si="4"/>
        <v>13.166666666672674</v>
      </c>
      <c r="F38" s="3">
        <f t="shared" si="2"/>
        <v>3.602895759513558E-11</v>
      </c>
      <c r="G38" s="3"/>
    </row>
    <row r="39" spans="1:7" x14ac:dyDescent="0.35">
      <c r="A39" s="3">
        <v>2.9</v>
      </c>
      <c r="B39" s="3">
        <f t="shared" si="0"/>
        <v>15.000000000072058</v>
      </c>
      <c r="C39" s="3">
        <f t="shared" si="1"/>
        <v>8.6469498228325392E-11</v>
      </c>
      <c r="D39" s="3">
        <f t="shared" si="3"/>
        <v>4.9999999999855884</v>
      </c>
      <c r="E39" s="3">
        <f t="shared" si="4"/>
        <v>13.666666666669071</v>
      </c>
      <c r="F39" s="3">
        <f t="shared" si="2"/>
        <v>1.4411583038054232E-11</v>
      </c>
      <c r="G39" s="3"/>
    </row>
    <row r="40" spans="1:7" x14ac:dyDescent="0.35">
      <c r="A40" s="3">
        <v>3</v>
      </c>
      <c r="B40" s="3">
        <f t="shared" si="0"/>
        <v>15.000000000028821</v>
      </c>
      <c r="C40" s="3">
        <f t="shared" si="1"/>
        <v>3.4585667663122877E-11</v>
      </c>
      <c r="D40" s="3">
        <f t="shared" si="3"/>
        <v>4.9999999999942357</v>
      </c>
      <c r="E40" s="3">
        <f t="shared" si="4"/>
        <v>14.166666666667631</v>
      </c>
      <c r="F40" s="3">
        <f t="shared" si="2"/>
        <v>5.7642779438538128E-12</v>
      </c>
      <c r="G40" s="3"/>
    </row>
    <row r="41" spans="1:7" x14ac:dyDescent="0.35">
      <c r="A41" s="3">
        <v>3.1</v>
      </c>
      <c r="B41" s="3">
        <f t="shared" si="0"/>
        <v>15.000000000011529</v>
      </c>
      <c r="C41" s="3">
        <f t="shared" si="1"/>
        <v>1.3834267065249151E-11</v>
      </c>
      <c r="D41" s="3">
        <f t="shared" si="3"/>
        <v>4.9999999999976943</v>
      </c>
      <c r="E41" s="3">
        <f t="shared" si="4"/>
        <v>14.666666666667055</v>
      </c>
      <c r="F41" s="3">
        <f t="shared" si="2"/>
        <v>2.3057111775415251E-12</v>
      </c>
      <c r="G41" s="3"/>
    </row>
    <row r="42" spans="1:7" x14ac:dyDescent="0.35">
      <c r="A42" s="3">
        <v>3.2</v>
      </c>
      <c r="B42" s="3">
        <f t="shared" si="0"/>
        <v>15.00000000000461</v>
      </c>
      <c r="C42" s="3">
        <f t="shared" si="1"/>
        <v>5.5315751978923799E-12</v>
      </c>
      <c r="D42" s="3">
        <f t="shared" si="3"/>
        <v>4.9999999999990781</v>
      </c>
      <c r="E42" s="3">
        <f t="shared" si="4"/>
        <v>15.166666666666824</v>
      </c>
      <c r="F42" s="3">
        <f t="shared" si="2"/>
        <v>9.2192919964872999E-13</v>
      </c>
      <c r="G42" s="3"/>
    </row>
    <row r="43" spans="1:7" x14ac:dyDescent="0.35">
      <c r="A43" s="3">
        <v>3.3</v>
      </c>
      <c r="B43" s="3">
        <f t="shared" si="0"/>
        <v>15.000000000001844</v>
      </c>
      <c r="C43" s="3">
        <f t="shared" si="1"/>
        <v>2.2133406218927121E-12</v>
      </c>
      <c r="D43" s="3">
        <f t="shared" si="3"/>
        <v>4.9999999999996314</v>
      </c>
      <c r="E43" s="3">
        <f t="shared" si="4"/>
        <v>15.666666666666732</v>
      </c>
      <c r="F43" s="3">
        <f t="shared" si="2"/>
        <v>3.6859404417555197E-13</v>
      </c>
      <c r="G43" s="3"/>
    </row>
    <row r="44" spans="1:7" x14ac:dyDescent="0.35">
      <c r="A44" s="3">
        <v>3.4</v>
      </c>
      <c r="B44" s="3">
        <f t="shared" si="0"/>
        <v>15.000000000000737</v>
      </c>
      <c r="C44" s="3">
        <f t="shared" si="1"/>
        <v>8.8462570602132473E-13</v>
      </c>
      <c r="D44" s="3">
        <f t="shared" si="3"/>
        <v>4.9999999999998526</v>
      </c>
      <c r="E44" s="3">
        <f t="shared" si="4"/>
        <v>16.166666666666696</v>
      </c>
      <c r="F44" s="3">
        <f t="shared" si="2"/>
        <v>1.4743761767022079E-13</v>
      </c>
      <c r="G44" s="3"/>
    </row>
    <row r="45" spans="1:7" x14ac:dyDescent="0.35">
      <c r="A45" s="3">
        <v>3.5</v>
      </c>
      <c r="B45" s="3">
        <f t="shared" si="0"/>
        <v>15.000000000000293</v>
      </c>
      <c r="C45" s="3">
        <f t="shared" si="1"/>
        <v>3.5171865420124959E-13</v>
      </c>
      <c r="D45" s="3">
        <f t="shared" si="3"/>
        <v>4.9999999999999414</v>
      </c>
      <c r="E45" s="3">
        <f t="shared" si="4"/>
        <v>16.666666666666682</v>
      </c>
      <c r="F45" s="3">
        <f t="shared" si="2"/>
        <v>5.8619775700208265E-14</v>
      </c>
      <c r="G45" s="3"/>
    </row>
    <row r="46" spans="1:7" x14ac:dyDescent="0.35">
      <c r="A46" s="3">
        <v>3.6</v>
      </c>
      <c r="B46" s="3">
        <f t="shared" si="0"/>
        <v>15.000000000000115</v>
      </c>
      <c r="C46" s="3">
        <f t="shared" si="1"/>
        <v>1.3855583347321954E-13</v>
      </c>
      <c r="D46" s="3">
        <f t="shared" si="3"/>
        <v>4.9999999999999769</v>
      </c>
      <c r="E46" s="3">
        <f t="shared" si="4"/>
        <v>17.166666666666675</v>
      </c>
      <c r="F46" s="3">
        <f t="shared" si="2"/>
        <v>2.3092638912203256E-14</v>
      </c>
      <c r="G46" s="3"/>
    </row>
    <row r="47" spans="1:7" x14ac:dyDescent="0.35">
      <c r="A47" s="3">
        <v>3.7</v>
      </c>
      <c r="B47" s="3">
        <f t="shared" si="0"/>
        <v>15.000000000000044</v>
      </c>
      <c r="C47" s="3">
        <f t="shared" si="1"/>
        <v>5.3290705182007514E-14</v>
      </c>
      <c r="D47" s="3">
        <f t="shared" si="3"/>
        <v>4.9999999999999911</v>
      </c>
      <c r="E47" s="3">
        <f t="shared" si="4"/>
        <v>17.666666666666671</v>
      </c>
      <c r="F47" s="3">
        <f t="shared" si="2"/>
        <v>8.8817841970012523E-15</v>
      </c>
      <c r="G47" s="3"/>
    </row>
    <row r="48" spans="1:7" x14ac:dyDescent="0.35">
      <c r="A48" s="3">
        <v>3.8</v>
      </c>
      <c r="B48" s="3">
        <f t="shared" si="0"/>
        <v>15</v>
      </c>
      <c r="C48" s="3">
        <f t="shared" si="1"/>
        <v>0</v>
      </c>
      <c r="D48" s="3">
        <f t="shared" si="3"/>
        <v>4.9999999999999964</v>
      </c>
      <c r="E48" s="3">
        <f t="shared" si="4"/>
        <v>18.166666666666671</v>
      </c>
      <c r="F48" s="3">
        <f t="shared" si="2"/>
        <v>0</v>
      </c>
      <c r="G48" s="3"/>
    </row>
    <row r="49" spans="1:7" x14ac:dyDescent="0.35">
      <c r="A49" s="3">
        <v>3.9</v>
      </c>
      <c r="B49" s="3">
        <f t="shared" si="0"/>
        <v>15</v>
      </c>
      <c r="C49" s="3">
        <f t="shared" si="1"/>
        <v>0</v>
      </c>
      <c r="D49" s="3">
        <f t="shared" si="3"/>
        <v>4.9999999999999964</v>
      </c>
      <c r="E49" s="3">
        <f t="shared" si="4"/>
        <v>18.666666666666671</v>
      </c>
      <c r="F49" s="3">
        <f t="shared" si="2"/>
        <v>0</v>
      </c>
      <c r="G49" s="3"/>
    </row>
    <row r="50" spans="1:7" x14ac:dyDescent="0.35">
      <c r="A50" s="3">
        <v>4</v>
      </c>
      <c r="B50" s="3">
        <f t="shared" si="0"/>
        <v>15</v>
      </c>
      <c r="C50" s="3">
        <f t="shared" si="1"/>
        <v>0</v>
      </c>
      <c r="D50" s="3">
        <f t="shared" si="3"/>
        <v>4.9999999999999964</v>
      </c>
      <c r="E50" s="3">
        <f t="shared" si="4"/>
        <v>19.166666666666671</v>
      </c>
      <c r="F50" s="3">
        <f t="shared" si="2"/>
        <v>0</v>
      </c>
      <c r="G50" s="3"/>
    </row>
    <row r="51" spans="1:7" x14ac:dyDescent="0.35">
      <c r="A51" s="3">
        <v>4.0999999999999996</v>
      </c>
      <c r="B51" s="3">
        <f t="shared" si="0"/>
        <v>15</v>
      </c>
      <c r="C51" s="3">
        <f t="shared" si="1"/>
        <v>0</v>
      </c>
      <c r="D51" s="3">
        <f t="shared" si="3"/>
        <v>4.9999999999999964</v>
      </c>
      <c r="E51" s="3">
        <f t="shared" si="4"/>
        <v>19.666666666666671</v>
      </c>
      <c r="F51" s="3">
        <f t="shared" si="2"/>
        <v>0</v>
      </c>
      <c r="G51" s="3"/>
    </row>
    <row r="52" spans="1:7" x14ac:dyDescent="0.35">
      <c r="A52" s="3">
        <v>4.2</v>
      </c>
      <c r="B52" s="3">
        <f t="shared" si="0"/>
        <v>15</v>
      </c>
      <c r="C52" s="3">
        <f t="shared" si="1"/>
        <v>0</v>
      </c>
      <c r="D52" s="3">
        <f t="shared" si="3"/>
        <v>4.9999999999999964</v>
      </c>
      <c r="E52" s="3">
        <f t="shared" si="4"/>
        <v>20.166666666666671</v>
      </c>
      <c r="F52" s="3">
        <f t="shared" si="2"/>
        <v>0</v>
      </c>
      <c r="G52" s="3"/>
    </row>
    <row r="53" spans="1:7" x14ac:dyDescent="0.35">
      <c r="A53" s="3">
        <v>4.3</v>
      </c>
      <c r="B53" s="3">
        <f t="shared" si="0"/>
        <v>15</v>
      </c>
      <c r="C53" s="3">
        <f t="shared" si="1"/>
        <v>0</v>
      </c>
      <c r="D53" s="3">
        <f t="shared" si="3"/>
        <v>4.9999999999999964</v>
      </c>
      <c r="E53" s="3">
        <f t="shared" si="4"/>
        <v>20.666666666666671</v>
      </c>
      <c r="F53" s="3">
        <f t="shared" si="2"/>
        <v>0</v>
      </c>
      <c r="G53" s="3"/>
    </row>
    <row r="54" spans="1:7" x14ac:dyDescent="0.35">
      <c r="A54" s="3">
        <v>4.4000000000000004</v>
      </c>
      <c r="B54" s="3">
        <f t="shared" si="0"/>
        <v>15</v>
      </c>
      <c r="C54" s="3">
        <f t="shared" si="1"/>
        <v>0</v>
      </c>
      <c r="D54" s="3">
        <f t="shared" si="3"/>
        <v>4.9999999999999964</v>
      </c>
      <c r="E54" s="3">
        <f t="shared" si="4"/>
        <v>21.166666666666671</v>
      </c>
      <c r="F54" s="3">
        <f t="shared" si="2"/>
        <v>0</v>
      </c>
      <c r="G54" s="3"/>
    </row>
    <row r="55" spans="1:7" x14ac:dyDescent="0.35">
      <c r="A55" s="3">
        <v>4.5</v>
      </c>
      <c r="B55" s="3">
        <f t="shared" si="0"/>
        <v>15</v>
      </c>
      <c r="C55" s="3">
        <f t="shared" si="1"/>
        <v>0</v>
      </c>
      <c r="D55" s="3">
        <f t="shared" si="3"/>
        <v>4.9999999999999964</v>
      </c>
      <c r="E55" s="3">
        <f t="shared" si="4"/>
        <v>21.666666666666671</v>
      </c>
      <c r="F55" s="3">
        <f t="shared" si="2"/>
        <v>0</v>
      </c>
      <c r="G55" s="3"/>
    </row>
    <row r="56" spans="1:7" x14ac:dyDescent="0.35">
      <c r="A56" s="3">
        <v>4.5999999999999996</v>
      </c>
      <c r="B56" s="3">
        <f t="shared" si="0"/>
        <v>15</v>
      </c>
      <c r="C56" s="3">
        <f t="shared" si="1"/>
        <v>0</v>
      </c>
      <c r="D56" s="3">
        <f t="shared" si="3"/>
        <v>4.9999999999999964</v>
      </c>
      <c r="E56" s="3">
        <f t="shared" si="4"/>
        <v>22.166666666666671</v>
      </c>
      <c r="F56" s="3">
        <f t="shared" si="2"/>
        <v>0</v>
      </c>
      <c r="G56" s="3"/>
    </row>
    <row r="57" spans="1:7" x14ac:dyDescent="0.35">
      <c r="A57" s="3">
        <v>4.7</v>
      </c>
      <c r="B57" s="3">
        <f t="shared" si="0"/>
        <v>15</v>
      </c>
      <c r="C57" s="3">
        <f t="shared" si="1"/>
        <v>0</v>
      </c>
      <c r="D57" s="3">
        <f t="shared" si="3"/>
        <v>4.9999999999999964</v>
      </c>
      <c r="E57" s="3">
        <f t="shared" si="4"/>
        <v>22.666666666666671</v>
      </c>
      <c r="F57" s="3">
        <f t="shared" si="2"/>
        <v>0</v>
      </c>
      <c r="G57" s="3"/>
    </row>
    <row r="58" spans="1:7" x14ac:dyDescent="0.35">
      <c r="A58" s="3">
        <v>4.8</v>
      </c>
      <c r="B58" s="3">
        <f t="shared" si="0"/>
        <v>15</v>
      </c>
      <c r="C58" s="3">
        <f t="shared" si="1"/>
        <v>0</v>
      </c>
      <c r="D58" s="3">
        <f t="shared" si="3"/>
        <v>4.9999999999999964</v>
      </c>
      <c r="E58" s="3">
        <f t="shared" si="4"/>
        <v>23.166666666666671</v>
      </c>
      <c r="F58" s="3">
        <f t="shared" si="2"/>
        <v>0</v>
      </c>
      <c r="G58" s="3"/>
    </row>
    <row r="59" spans="1:7" x14ac:dyDescent="0.35">
      <c r="A59" s="3">
        <v>4.9000000000000004</v>
      </c>
      <c r="B59" s="3">
        <f t="shared" si="0"/>
        <v>15</v>
      </c>
      <c r="C59" s="3">
        <f t="shared" si="1"/>
        <v>0</v>
      </c>
      <c r="D59" s="3">
        <f t="shared" si="3"/>
        <v>4.9999999999999964</v>
      </c>
      <c r="E59" s="3">
        <f t="shared" si="4"/>
        <v>23.666666666666671</v>
      </c>
      <c r="F59" s="3">
        <f t="shared" si="2"/>
        <v>0</v>
      </c>
      <c r="G59" s="3"/>
    </row>
    <row r="60" spans="1:7" x14ac:dyDescent="0.35">
      <c r="A60" s="3">
        <v>5</v>
      </c>
      <c r="B60" s="3">
        <f t="shared" si="0"/>
        <v>15</v>
      </c>
      <c r="C60" s="3">
        <f t="shared" si="1"/>
        <v>0</v>
      </c>
      <c r="D60" s="3">
        <f t="shared" si="3"/>
        <v>4.9999999999999964</v>
      </c>
      <c r="E60" s="3">
        <f t="shared" si="4"/>
        <v>24.166666666666671</v>
      </c>
      <c r="F60" s="3">
        <f t="shared" si="2"/>
        <v>0</v>
      </c>
      <c r="G60" s="3"/>
    </row>
    <row r="61" spans="1:7" x14ac:dyDescent="0.35">
      <c r="A61" s="3">
        <v>5.0999999999999996</v>
      </c>
      <c r="B61" s="3">
        <f t="shared" si="0"/>
        <v>15</v>
      </c>
      <c r="C61" s="3">
        <f t="shared" si="1"/>
        <v>0</v>
      </c>
      <c r="D61" s="3">
        <f t="shared" si="3"/>
        <v>4.9999999999999964</v>
      </c>
      <c r="E61" s="3">
        <f t="shared" si="4"/>
        <v>24.666666666666671</v>
      </c>
      <c r="F61" s="3">
        <f t="shared" si="2"/>
        <v>0</v>
      </c>
      <c r="G61" s="3"/>
    </row>
    <row r="62" spans="1:7" x14ac:dyDescent="0.35">
      <c r="A62" s="3">
        <v>5.2</v>
      </c>
      <c r="B62" s="3">
        <f t="shared" si="0"/>
        <v>15</v>
      </c>
      <c r="C62" s="3">
        <f t="shared" si="1"/>
        <v>0</v>
      </c>
      <c r="D62" s="3">
        <f t="shared" si="3"/>
        <v>4.9999999999999964</v>
      </c>
      <c r="E62" s="3">
        <f t="shared" si="4"/>
        <v>25.166666666666671</v>
      </c>
      <c r="F62" s="3">
        <f t="shared" si="2"/>
        <v>0</v>
      </c>
      <c r="G62" s="3"/>
    </row>
    <row r="63" spans="1:7" x14ac:dyDescent="0.35">
      <c r="A63" s="3">
        <v>5.3</v>
      </c>
      <c r="B63" s="3">
        <f t="shared" si="0"/>
        <v>15</v>
      </c>
      <c r="C63" s="3">
        <f t="shared" si="1"/>
        <v>0</v>
      </c>
      <c r="D63" s="3">
        <f t="shared" si="3"/>
        <v>4.9999999999999964</v>
      </c>
      <c r="E63" s="3">
        <f t="shared" si="4"/>
        <v>25.666666666666671</v>
      </c>
      <c r="F63" s="3">
        <f t="shared" si="2"/>
        <v>0</v>
      </c>
      <c r="G63" s="3"/>
    </row>
    <row r="64" spans="1:7" x14ac:dyDescent="0.35">
      <c r="A64" s="3">
        <v>5.4</v>
      </c>
      <c r="B64" s="3">
        <f t="shared" si="0"/>
        <v>15</v>
      </c>
      <c r="C64" s="3">
        <f t="shared" si="1"/>
        <v>0</v>
      </c>
      <c r="D64" s="3">
        <f t="shared" si="3"/>
        <v>4.9999999999999964</v>
      </c>
      <c r="E64" s="3">
        <f t="shared" si="4"/>
        <v>26.166666666666671</v>
      </c>
      <c r="F64" s="3">
        <f t="shared" si="2"/>
        <v>0</v>
      </c>
      <c r="G64" s="3"/>
    </row>
    <row r="65" spans="1:7" x14ac:dyDescent="0.35">
      <c r="A65" s="3">
        <v>5.5</v>
      </c>
      <c r="B65" s="3">
        <f t="shared" si="0"/>
        <v>15</v>
      </c>
      <c r="C65" s="3">
        <f t="shared" si="1"/>
        <v>0</v>
      </c>
      <c r="D65" s="3">
        <f t="shared" si="3"/>
        <v>4.9999999999999964</v>
      </c>
      <c r="E65" s="3">
        <f t="shared" si="4"/>
        <v>26.666666666666671</v>
      </c>
      <c r="F65" s="3">
        <f t="shared" si="2"/>
        <v>0</v>
      </c>
      <c r="G65" s="3"/>
    </row>
    <row r="66" spans="1:7" x14ac:dyDescent="0.35">
      <c r="A66" s="3">
        <v>5.6</v>
      </c>
      <c r="B66" s="3">
        <f t="shared" si="0"/>
        <v>15</v>
      </c>
      <c r="C66" s="3">
        <f t="shared" si="1"/>
        <v>0</v>
      </c>
      <c r="D66" s="3">
        <f t="shared" si="3"/>
        <v>4.9999999999999964</v>
      </c>
      <c r="E66" s="3">
        <f t="shared" si="4"/>
        <v>27.166666666666671</v>
      </c>
      <c r="F66" s="3">
        <f t="shared" si="2"/>
        <v>0</v>
      </c>
      <c r="G66" s="3"/>
    </row>
    <row r="67" spans="1:7" x14ac:dyDescent="0.35">
      <c r="A67" s="3">
        <v>5.7</v>
      </c>
      <c r="B67" s="3">
        <f t="shared" si="0"/>
        <v>15</v>
      </c>
      <c r="C67" s="3">
        <f t="shared" si="1"/>
        <v>0</v>
      </c>
      <c r="D67" s="3">
        <f t="shared" si="3"/>
        <v>4.9999999999999964</v>
      </c>
      <c r="E67" s="3">
        <f t="shared" si="4"/>
        <v>27.666666666666671</v>
      </c>
      <c r="F67" s="3">
        <f t="shared" si="2"/>
        <v>0</v>
      </c>
      <c r="G67" s="3"/>
    </row>
    <row r="68" spans="1:7" x14ac:dyDescent="0.35">
      <c r="A68" s="3">
        <v>5.8</v>
      </c>
      <c r="B68" s="3">
        <f t="shared" si="0"/>
        <v>15</v>
      </c>
      <c r="C68" s="3">
        <f t="shared" si="1"/>
        <v>0</v>
      </c>
      <c r="D68" s="3">
        <f t="shared" si="3"/>
        <v>4.9999999999999964</v>
      </c>
      <c r="E68" s="3">
        <f t="shared" si="4"/>
        <v>28.166666666666671</v>
      </c>
      <c r="F68" s="3">
        <f t="shared" si="2"/>
        <v>0</v>
      </c>
      <c r="G68" s="3"/>
    </row>
    <row r="69" spans="1:7" x14ac:dyDescent="0.35">
      <c r="A69" s="3">
        <v>5.9</v>
      </c>
      <c r="B69" s="3">
        <f t="shared" si="0"/>
        <v>15</v>
      </c>
      <c r="C69" s="3">
        <f t="shared" si="1"/>
        <v>0</v>
      </c>
      <c r="D69" s="3">
        <f t="shared" si="3"/>
        <v>4.9999999999999964</v>
      </c>
      <c r="E69" s="3">
        <f t="shared" si="4"/>
        <v>28.666666666666671</v>
      </c>
      <c r="F69" s="3">
        <f t="shared" si="2"/>
        <v>0</v>
      </c>
      <c r="G69" s="3"/>
    </row>
    <row r="70" spans="1:7" x14ac:dyDescent="0.35">
      <c r="A70" s="3">
        <v>6</v>
      </c>
      <c r="B70" s="3">
        <f t="shared" si="0"/>
        <v>15</v>
      </c>
      <c r="C70" s="3">
        <f t="shared" si="1"/>
        <v>0</v>
      </c>
      <c r="D70" s="3">
        <f t="shared" si="3"/>
        <v>4.9999999999999964</v>
      </c>
      <c r="E70" s="3">
        <f t="shared" si="4"/>
        <v>29.166666666666671</v>
      </c>
      <c r="F70" s="3">
        <f t="shared" si="2"/>
        <v>0</v>
      </c>
      <c r="G70" s="3"/>
    </row>
    <row r="71" spans="1:7" x14ac:dyDescent="0.35">
      <c r="A71" s="3">
        <v>6.1</v>
      </c>
      <c r="B71" s="3">
        <f t="shared" si="0"/>
        <v>15</v>
      </c>
      <c r="C71" s="3">
        <f t="shared" si="1"/>
        <v>0</v>
      </c>
      <c r="D71" s="3">
        <f t="shared" si="3"/>
        <v>4.9999999999999964</v>
      </c>
      <c r="E71" s="3">
        <f t="shared" si="4"/>
        <v>29.666666666666671</v>
      </c>
      <c r="F71" s="3">
        <f t="shared" si="2"/>
        <v>0</v>
      </c>
      <c r="G71" s="3"/>
    </row>
    <row r="72" spans="1:7" x14ac:dyDescent="0.35">
      <c r="A72" s="3">
        <v>6.2</v>
      </c>
      <c r="B72" s="3">
        <f t="shared" si="0"/>
        <v>15</v>
      </c>
      <c r="C72" s="3">
        <f t="shared" si="1"/>
        <v>0</v>
      </c>
      <c r="D72" s="3">
        <f t="shared" si="3"/>
        <v>4.9999999999999964</v>
      </c>
      <c r="E72" s="3">
        <f t="shared" si="4"/>
        <v>30.166666666666671</v>
      </c>
      <c r="F72" s="3">
        <f t="shared" si="2"/>
        <v>0</v>
      </c>
      <c r="G72" s="3"/>
    </row>
    <row r="73" spans="1:7" x14ac:dyDescent="0.35">
      <c r="A73" s="3">
        <v>6.3</v>
      </c>
      <c r="B73" s="3">
        <f t="shared" si="0"/>
        <v>15</v>
      </c>
      <c r="C73" s="3">
        <f t="shared" si="1"/>
        <v>0</v>
      </c>
      <c r="D73" s="3">
        <f t="shared" si="3"/>
        <v>4.9999999999999964</v>
      </c>
      <c r="E73" s="3">
        <f t="shared" si="4"/>
        <v>30.666666666666671</v>
      </c>
      <c r="F73" s="3">
        <f t="shared" si="2"/>
        <v>0</v>
      </c>
      <c r="G73" s="3"/>
    </row>
    <row r="74" spans="1:7" x14ac:dyDescent="0.35">
      <c r="A74" s="3">
        <v>6.4</v>
      </c>
      <c r="B74" s="3">
        <f t="shared" si="0"/>
        <v>15</v>
      </c>
      <c r="C74" s="3">
        <f t="shared" si="1"/>
        <v>0</v>
      </c>
      <c r="D74" s="3">
        <f t="shared" si="3"/>
        <v>4.9999999999999964</v>
      </c>
      <c r="E74" s="3">
        <f t="shared" si="4"/>
        <v>31.166666666666671</v>
      </c>
      <c r="F74" s="3">
        <f t="shared" si="2"/>
        <v>0</v>
      </c>
      <c r="G74" s="3"/>
    </row>
    <row r="75" spans="1:7" x14ac:dyDescent="0.35">
      <c r="A75" s="3">
        <v>6.5</v>
      </c>
      <c r="B75" s="3">
        <f t="shared" ref="B75:B110" si="5">$F75*$F$2-$D$2*$E$4-$C$2</f>
        <v>15</v>
      </c>
      <c r="C75" s="3">
        <f t="shared" ref="C75:C110" si="6">$D$2*$D75+$C$2+$B75</f>
        <v>0</v>
      </c>
      <c r="D75" s="3">
        <f t="shared" si="3"/>
        <v>4.9999999999999964</v>
      </c>
      <c r="E75" s="3">
        <f t="shared" si="4"/>
        <v>31.666666666666671</v>
      </c>
      <c r="F75" s="3">
        <f t="shared" ref="F75:F110" si="7">$E$4-$D75</f>
        <v>0</v>
      </c>
      <c r="G75" s="3"/>
    </row>
    <row r="76" spans="1:7" x14ac:dyDescent="0.35">
      <c r="A76" s="3">
        <v>6.6</v>
      </c>
      <c r="B76" s="3">
        <f t="shared" si="5"/>
        <v>15</v>
      </c>
      <c r="C76" s="3">
        <f t="shared" si="6"/>
        <v>0</v>
      </c>
      <c r="D76" s="3">
        <f t="shared" ref="D76:D110" si="8">$D75+$C75*$E$2</f>
        <v>4.9999999999999964</v>
      </c>
      <c r="E76" s="3">
        <f t="shared" ref="E76:E110" si="9">$E75+$D75*$E$2</f>
        <v>32.166666666666671</v>
      </c>
      <c r="F76" s="3">
        <f t="shared" si="7"/>
        <v>0</v>
      </c>
      <c r="G76" s="3"/>
    </row>
    <row r="77" spans="1:7" x14ac:dyDescent="0.35">
      <c r="A77" s="3">
        <v>6.7</v>
      </c>
      <c r="B77" s="3">
        <f t="shared" si="5"/>
        <v>15</v>
      </c>
      <c r="C77" s="3">
        <f t="shared" si="6"/>
        <v>0</v>
      </c>
      <c r="D77" s="3">
        <f t="shared" si="8"/>
        <v>4.9999999999999964</v>
      </c>
      <c r="E77" s="3">
        <f t="shared" si="9"/>
        <v>32.666666666666671</v>
      </c>
      <c r="F77" s="3">
        <f t="shared" si="7"/>
        <v>0</v>
      </c>
      <c r="G77" s="3"/>
    </row>
    <row r="78" spans="1:7" x14ac:dyDescent="0.35">
      <c r="A78" s="3">
        <v>6.8</v>
      </c>
      <c r="B78" s="3">
        <f t="shared" si="5"/>
        <v>15</v>
      </c>
      <c r="C78" s="3">
        <f t="shared" si="6"/>
        <v>0</v>
      </c>
      <c r="D78" s="3">
        <f t="shared" si="8"/>
        <v>4.9999999999999964</v>
      </c>
      <c r="E78" s="3">
        <f t="shared" si="9"/>
        <v>33.166666666666671</v>
      </c>
      <c r="F78" s="3">
        <f t="shared" si="7"/>
        <v>0</v>
      </c>
      <c r="G78" s="3"/>
    </row>
    <row r="79" spans="1:7" x14ac:dyDescent="0.35">
      <c r="A79" s="3">
        <v>6.9</v>
      </c>
      <c r="B79" s="3">
        <f t="shared" si="5"/>
        <v>15</v>
      </c>
      <c r="C79" s="3">
        <f t="shared" si="6"/>
        <v>0</v>
      </c>
      <c r="D79" s="3">
        <f t="shared" si="8"/>
        <v>4.9999999999999964</v>
      </c>
      <c r="E79" s="3">
        <f t="shared" si="9"/>
        <v>33.666666666666671</v>
      </c>
      <c r="F79" s="3">
        <f t="shared" si="7"/>
        <v>0</v>
      </c>
      <c r="G79" s="3"/>
    </row>
    <row r="80" spans="1:7" x14ac:dyDescent="0.35">
      <c r="A80" s="3">
        <v>7</v>
      </c>
      <c r="B80" s="3">
        <f t="shared" si="5"/>
        <v>15</v>
      </c>
      <c r="C80" s="3">
        <f t="shared" si="6"/>
        <v>0</v>
      </c>
      <c r="D80" s="3">
        <f t="shared" si="8"/>
        <v>4.9999999999999964</v>
      </c>
      <c r="E80" s="3">
        <f t="shared" si="9"/>
        <v>34.166666666666671</v>
      </c>
      <c r="F80" s="3">
        <f t="shared" si="7"/>
        <v>0</v>
      </c>
      <c r="G80" s="3"/>
    </row>
    <row r="81" spans="1:7" x14ac:dyDescent="0.35">
      <c r="A81" s="3">
        <v>7.1</v>
      </c>
      <c r="B81" s="3">
        <f t="shared" si="5"/>
        <v>15</v>
      </c>
      <c r="C81" s="3">
        <f t="shared" si="6"/>
        <v>0</v>
      </c>
      <c r="D81" s="3">
        <f t="shared" si="8"/>
        <v>4.9999999999999964</v>
      </c>
      <c r="E81" s="3">
        <f t="shared" si="9"/>
        <v>34.666666666666671</v>
      </c>
      <c r="F81" s="3">
        <f t="shared" si="7"/>
        <v>0</v>
      </c>
      <c r="G81" s="3"/>
    </row>
    <row r="82" spans="1:7" x14ac:dyDescent="0.35">
      <c r="A82" s="3">
        <v>7.2</v>
      </c>
      <c r="B82" s="3">
        <f t="shared" si="5"/>
        <v>15</v>
      </c>
      <c r="C82" s="3">
        <f t="shared" si="6"/>
        <v>0</v>
      </c>
      <c r="D82" s="3">
        <f t="shared" si="8"/>
        <v>4.9999999999999964</v>
      </c>
      <c r="E82" s="3">
        <f t="shared" si="9"/>
        <v>35.166666666666671</v>
      </c>
      <c r="F82" s="3">
        <f t="shared" si="7"/>
        <v>0</v>
      </c>
      <c r="G82" s="3"/>
    </row>
    <row r="83" spans="1:7" x14ac:dyDescent="0.35">
      <c r="A83" s="3">
        <v>7.3</v>
      </c>
      <c r="B83" s="3">
        <f t="shared" si="5"/>
        <v>15</v>
      </c>
      <c r="C83" s="3">
        <f t="shared" si="6"/>
        <v>0</v>
      </c>
      <c r="D83" s="3">
        <f t="shared" si="8"/>
        <v>4.9999999999999964</v>
      </c>
      <c r="E83" s="3">
        <f t="shared" si="9"/>
        <v>35.666666666666671</v>
      </c>
      <c r="F83" s="3">
        <f t="shared" si="7"/>
        <v>0</v>
      </c>
      <c r="G83" s="3"/>
    </row>
    <row r="84" spans="1:7" x14ac:dyDescent="0.35">
      <c r="A84" s="3">
        <v>7.4</v>
      </c>
      <c r="B84" s="3">
        <f t="shared" si="5"/>
        <v>15</v>
      </c>
      <c r="C84" s="3">
        <f t="shared" si="6"/>
        <v>0</v>
      </c>
      <c r="D84" s="3">
        <f t="shared" si="8"/>
        <v>4.9999999999999964</v>
      </c>
      <c r="E84" s="3">
        <f t="shared" si="9"/>
        <v>36.166666666666671</v>
      </c>
      <c r="F84" s="3">
        <f t="shared" si="7"/>
        <v>0</v>
      </c>
      <c r="G84" s="3"/>
    </row>
    <row r="85" spans="1:7" x14ac:dyDescent="0.35">
      <c r="A85" s="3">
        <v>7.5</v>
      </c>
      <c r="B85" s="3">
        <f t="shared" si="5"/>
        <v>15</v>
      </c>
      <c r="C85" s="3">
        <f t="shared" si="6"/>
        <v>0</v>
      </c>
      <c r="D85" s="3">
        <f t="shared" si="8"/>
        <v>4.9999999999999964</v>
      </c>
      <c r="E85" s="3">
        <f t="shared" si="9"/>
        <v>36.666666666666671</v>
      </c>
      <c r="F85" s="3">
        <f t="shared" si="7"/>
        <v>0</v>
      </c>
      <c r="G85" s="3"/>
    </row>
    <row r="86" spans="1:7" x14ac:dyDescent="0.35">
      <c r="A86" s="3">
        <v>7.6</v>
      </c>
      <c r="B86" s="3">
        <f t="shared" si="5"/>
        <v>15</v>
      </c>
      <c r="C86" s="3">
        <f t="shared" si="6"/>
        <v>0</v>
      </c>
      <c r="D86" s="3">
        <f t="shared" si="8"/>
        <v>4.9999999999999964</v>
      </c>
      <c r="E86" s="3">
        <f t="shared" si="9"/>
        <v>37.166666666666671</v>
      </c>
      <c r="F86" s="3">
        <f t="shared" si="7"/>
        <v>0</v>
      </c>
      <c r="G86" s="3"/>
    </row>
    <row r="87" spans="1:7" x14ac:dyDescent="0.35">
      <c r="A87" s="3">
        <v>7.7</v>
      </c>
      <c r="B87" s="3">
        <f t="shared" si="5"/>
        <v>15</v>
      </c>
      <c r="C87" s="3">
        <f t="shared" si="6"/>
        <v>0</v>
      </c>
      <c r="D87" s="3">
        <f t="shared" si="8"/>
        <v>4.9999999999999964</v>
      </c>
      <c r="E87" s="3">
        <f t="shared" si="9"/>
        <v>37.666666666666671</v>
      </c>
      <c r="F87" s="3">
        <f t="shared" si="7"/>
        <v>0</v>
      </c>
      <c r="G87" s="3"/>
    </row>
    <row r="88" spans="1:7" x14ac:dyDescent="0.35">
      <c r="A88" s="3">
        <v>7.8</v>
      </c>
      <c r="B88" s="3">
        <f t="shared" si="5"/>
        <v>15</v>
      </c>
      <c r="C88" s="3">
        <f t="shared" si="6"/>
        <v>0</v>
      </c>
      <c r="D88" s="3">
        <f t="shared" si="8"/>
        <v>4.9999999999999964</v>
      </c>
      <c r="E88" s="3">
        <f t="shared" si="9"/>
        <v>38.166666666666671</v>
      </c>
      <c r="F88" s="3">
        <f t="shared" si="7"/>
        <v>0</v>
      </c>
      <c r="G88" s="3"/>
    </row>
    <row r="89" spans="1:7" x14ac:dyDescent="0.35">
      <c r="A89" s="3">
        <v>7.9</v>
      </c>
      <c r="B89" s="3">
        <f t="shared" si="5"/>
        <v>15</v>
      </c>
      <c r="C89" s="3">
        <f t="shared" si="6"/>
        <v>0</v>
      </c>
      <c r="D89" s="3">
        <f t="shared" si="8"/>
        <v>4.9999999999999964</v>
      </c>
      <c r="E89" s="3">
        <f t="shared" si="9"/>
        <v>38.666666666666671</v>
      </c>
      <c r="F89" s="3">
        <f t="shared" si="7"/>
        <v>0</v>
      </c>
      <c r="G89" s="3"/>
    </row>
    <row r="90" spans="1:7" x14ac:dyDescent="0.35">
      <c r="A90" s="3">
        <v>8</v>
      </c>
      <c r="B90" s="3">
        <f t="shared" si="5"/>
        <v>15</v>
      </c>
      <c r="C90" s="3">
        <f t="shared" si="6"/>
        <v>0</v>
      </c>
      <c r="D90" s="3">
        <f t="shared" si="8"/>
        <v>4.9999999999999964</v>
      </c>
      <c r="E90" s="3">
        <f t="shared" si="9"/>
        <v>39.166666666666671</v>
      </c>
      <c r="F90" s="3">
        <f t="shared" si="7"/>
        <v>0</v>
      </c>
      <c r="G90" s="3"/>
    </row>
    <row r="91" spans="1:7" x14ac:dyDescent="0.35">
      <c r="A91" s="3">
        <v>8.1</v>
      </c>
      <c r="B91" s="3">
        <f t="shared" si="5"/>
        <v>15</v>
      </c>
      <c r="C91" s="3">
        <f t="shared" si="6"/>
        <v>0</v>
      </c>
      <c r="D91" s="3">
        <f t="shared" si="8"/>
        <v>4.9999999999999964</v>
      </c>
      <c r="E91" s="3">
        <f t="shared" si="9"/>
        <v>39.666666666666671</v>
      </c>
      <c r="F91" s="3">
        <f t="shared" si="7"/>
        <v>0</v>
      </c>
      <c r="G91" s="3"/>
    </row>
    <row r="92" spans="1:7" x14ac:dyDescent="0.35">
      <c r="A92" s="3">
        <v>8.1999999999999993</v>
      </c>
      <c r="B92" s="3">
        <f t="shared" si="5"/>
        <v>15</v>
      </c>
      <c r="C92" s="3">
        <f t="shared" si="6"/>
        <v>0</v>
      </c>
      <c r="D92" s="3">
        <f t="shared" si="8"/>
        <v>4.9999999999999964</v>
      </c>
      <c r="E92" s="3">
        <f t="shared" si="9"/>
        <v>40.166666666666671</v>
      </c>
      <c r="F92" s="3">
        <f t="shared" si="7"/>
        <v>0</v>
      </c>
      <c r="G92" s="3"/>
    </row>
    <row r="93" spans="1:7" x14ac:dyDescent="0.35">
      <c r="A93" s="3">
        <v>8.3000000000000007</v>
      </c>
      <c r="B93" s="3">
        <f t="shared" si="5"/>
        <v>15</v>
      </c>
      <c r="C93" s="3">
        <f t="shared" si="6"/>
        <v>0</v>
      </c>
      <c r="D93" s="3">
        <f t="shared" si="8"/>
        <v>4.9999999999999964</v>
      </c>
      <c r="E93" s="3">
        <f t="shared" si="9"/>
        <v>40.666666666666671</v>
      </c>
      <c r="F93" s="3">
        <f t="shared" si="7"/>
        <v>0</v>
      </c>
      <c r="G93" s="3"/>
    </row>
    <row r="94" spans="1:7" x14ac:dyDescent="0.35">
      <c r="A94" s="3">
        <v>8.4</v>
      </c>
      <c r="B94" s="3">
        <f t="shared" si="5"/>
        <v>15</v>
      </c>
      <c r="C94" s="3">
        <f t="shared" si="6"/>
        <v>0</v>
      </c>
      <c r="D94" s="3">
        <f t="shared" si="8"/>
        <v>4.9999999999999964</v>
      </c>
      <c r="E94" s="3">
        <f t="shared" si="9"/>
        <v>41.166666666666671</v>
      </c>
      <c r="F94" s="3">
        <f t="shared" si="7"/>
        <v>0</v>
      </c>
      <c r="G94" s="3"/>
    </row>
    <row r="95" spans="1:7" x14ac:dyDescent="0.35">
      <c r="A95" s="3">
        <v>8.5</v>
      </c>
      <c r="B95" s="3">
        <f t="shared" si="5"/>
        <v>15</v>
      </c>
      <c r="C95" s="3">
        <f t="shared" si="6"/>
        <v>0</v>
      </c>
      <c r="D95" s="3">
        <f t="shared" si="8"/>
        <v>4.9999999999999964</v>
      </c>
      <c r="E95" s="3">
        <f t="shared" si="9"/>
        <v>41.666666666666671</v>
      </c>
      <c r="F95" s="3">
        <f t="shared" si="7"/>
        <v>0</v>
      </c>
      <c r="G95" s="3"/>
    </row>
    <row r="96" spans="1:7" x14ac:dyDescent="0.35">
      <c r="A96" s="3">
        <v>8.6</v>
      </c>
      <c r="B96" s="3">
        <f t="shared" si="5"/>
        <v>15</v>
      </c>
      <c r="C96" s="3">
        <f t="shared" si="6"/>
        <v>0</v>
      </c>
      <c r="D96" s="3">
        <f t="shared" si="8"/>
        <v>4.9999999999999964</v>
      </c>
      <c r="E96" s="3">
        <f t="shared" si="9"/>
        <v>42.166666666666671</v>
      </c>
      <c r="F96" s="3">
        <f t="shared" si="7"/>
        <v>0</v>
      </c>
      <c r="G96" s="3"/>
    </row>
    <row r="97" spans="1:7" x14ac:dyDescent="0.35">
      <c r="A97" s="3">
        <v>8.6999999999999993</v>
      </c>
      <c r="B97" s="3">
        <f t="shared" si="5"/>
        <v>15</v>
      </c>
      <c r="C97" s="3">
        <f t="shared" si="6"/>
        <v>0</v>
      </c>
      <c r="D97" s="3">
        <f t="shared" si="8"/>
        <v>4.9999999999999964</v>
      </c>
      <c r="E97" s="3">
        <f t="shared" si="9"/>
        <v>42.666666666666671</v>
      </c>
      <c r="F97" s="3">
        <f t="shared" si="7"/>
        <v>0</v>
      </c>
      <c r="G97" s="3"/>
    </row>
    <row r="98" spans="1:7" x14ac:dyDescent="0.35">
      <c r="A98" s="3">
        <v>8.8000000000000007</v>
      </c>
      <c r="B98" s="3">
        <f t="shared" si="5"/>
        <v>15</v>
      </c>
      <c r="C98" s="3">
        <f t="shared" si="6"/>
        <v>0</v>
      </c>
      <c r="D98" s="3">
        <f t="shared" si="8"/>
        <v>4.9999999999999964</v>
      </c>
      <c r="E98" s="3">
        <f t="shared" si="9"/>
        <v>43.166666666666671</v>
      </c>
      <c r="F98" s="3">
        <f t="shared" si="7"/>
        <v>0</v>
      </c>
      <c r="G98" s="3"/>
    </row>
    <row r="99" spans="1:7" x14ac:dyDescent="0.35">
      <c r="A99" s="3">
        <v>8.9</v>
      </c>
      <c r="B99" s="3">
        <f t="shared" si="5"/>
        <v>15</v>
      </c>
      <c r="C99" s="3">
        <f t="shared" si="6"/>
        <v>0</v>
      </c>
      <c r="D99" s="3">
        <f t="shared" si="8"/>
        <v>4.9999999999999964</v>
      </c>
      <c r="E99" s="3">
        <f t="shared" si="9"/>
        <v>43.666666666666671</v>
      </c>
      <c r="F99" s="3">
        <f t="shared" si="7"/>
        <v>0</v>
      </c>
      <c r="G99" s="3"/>
    </row>
    <row r="100" spans="1:7" x14ac:dyDescent="0.35">
      <c r="A100" s="3">
        <v>9</v>
      </c>
      <c r="B100" s="3">
        <f t="shared" si="5"/>
        <v>15</v>
      </c>
      <c r="C100" s="3">
        <f t="shared" si="6"/>
        <v>0</v>
      </c>
      <c r="D100" s="3">
        <f t="shared" si="8"/>
        <v>4.9999999999999964</v>
      </c>
      <c r="E100" s="3">
        <f t="shared" si="9"/>
        <v>44.166666666666671</v>
      </c>
      <c r="F100" s="3">
        <f t="shared" si="7"/>
        <v>0</v>
      </c>
      <c r="G100" s="3"/>
    </row>
    <row r="101" spans="1:7" x14ac:dyDescent="0.35">
      <c r="A101" s="3">
        <v>9.1</v>
      </c>
      <c r="B101" s="3">
        <f t="shared" si="5"/>
        <v>15</v>
      </c>
      <c r="C101" s="3">
        <f t="shared" si="6"/>
        <v>0</v>
      </c>
      <c r="D101" s="3">
        <f t="shared" si="8"/>
        <v>4.9999999999999964</v>
      </c>
      <c r="E101" s="3">
        <f t="shared" si="9"/>
        <v>44.666666666666671</v>
      </c>
      <c r="F101" s="3">
        <f t="shared" si="7"/>
        <v>0</v>
      </c>
      <c r="G101" s="3"/>
    </row>
    <row r="102" spans="1:7" x14ac:dyDescent="0.35">
      <c r="A102" s="3">
        <v>9.1999999999999993</v>
      </c>
      <c r="B102" s="3">
        <f t="shared" si="5"/>
        <v>15</v>
      </c>
      <c r="C102" s="3">
        <f t="shared" si="6"/>
        <v>0</v>
      </c>
      <c r="D102" s="3">
        <f t="shared" si="8"/>
        <v>4.9999999999999964</v>
      </c>
      <c r="E102" s="3">
        <f t="shared" si="9"/>
        <v>45.166666666666671</v>
      </c>
      <c r="F102" s="3">
        <f t="shared" si="7"/>
        <v>0</v>
      </c>
      <c r="G102" s="3"/>
    </row>
    <row r="103" spans="1:7" x14ac:dyDescent="0.35">
      <c r="A103" s="3">
        <v>9.3000000000000007</v>
      </c>
      <c r="B103" s="3">
        <f t="shared" si="5"/>
        <v>15</v>
      </c>
      <c r="C103" s="3">
        <f t="shared" si="6"/>
        <v>0</v>
      </c>
      <c r="D103" s="3">
        <f t="shared" si="8"/>
        <v>4.9999999999999964</v>
      </c>
      <c r="E103" s="3">
        <f t="shared" si="9"/>
        <v>45.666666666666671</v>
      </c>
      <c r="F103" s="3">
        <f t="shared" si="7"/>
        <v>0</v>
      </c>
      <c r="G103" s="3"/>
    </row>
    <row r="104" spans="1:7" x14ac:dyDescent="0.35">
      <c r="A104" s="3">
        <v>9.4</v>
      </c>
      <c r="B104" s="3">
        <f t="shared" si="5"/>
        <v>15</v>
      </c>
      <c r="C104" s="3">
        <f t="shared" si="6"/>
        <v>0</v>
      </c>
      <c r="D104" s="3">
        <f t="shared" si="8"/>
        <v>4.9999999999999964</v>
      </c>
      <c r="E104" s="3">
        <f t="shared" si="9"/>
        <v>46.166666666666671</v>
      </c>
      <c r="F104" s="3">
        <f t="shared" si="7"/>
        <v>0</v>
      </c>
      <c r="G104" s="3"/>
    </row>
    <row r="105" spans="1:7" x14ac:dyDescent="0.35">
      <c r="A105" s="3">
        <v>9.5</v>
      </c>
      <c r="B105" s="3">
        <f t="shared" si="5"/>
        <v>15</v>
      </c>
      <c r="C105" s="3">
        <f t="shared" si="6"/>
        <v>0</v>
      </c>
      <c r="D105" s="3">
        <f t="shared" si="8"/>
        <v>4.9999999999999964</v>
      </c>
      <c r="E105" s="3">
        <f t="shared" si="9"/>
        <v>46.666666666666671</v>
      </c>
      <c r="F105" s="3">
        <f t="shared" si="7"/>
        <v>0</v>
      </c>
      <c r="G105" s="3"/>
    </row>
    <row r="106" spans="1:7" x14ac:dyDescent="0.35">
      <c r="A106" s="3">
        <v>9.6</v>
      </c>
      <c r="B106" s="3">
        <f t="shared" si="5"/>
        <v>15</v>
      </c>
      <c r="C106" s="3">
        <f t="shared" si="6"/>
        <v>0</v>
      </c>
      <c r="D106" s="3">
        <f t="shared" si="8"/>
        <v>4.9999999999999964</v>
      </c>
      <c r="E106" s="3">
        <f t="shared" si="9"/>
        <v>47.166666666666671</v>
      </c>
      <c r="F106" s="3">
        <f t="shared" si="7"/>
        <v>0</v>
      </c>
      <c r="G106" s="3"/>
    </row>
    <row r="107" spans="1:7" x14ac:dyDescent="0.35">
      <c r="A107" s="3">
        <v>9.6999999999999993</v>
      </c>
      <c r="B107" s="3">
        <f t="shared" si="5"/>
        <v>15</v>
      </c>
      <c r="C107" s="3">
        <f t="shared" si="6"/>
        <v>0</v>
      </c>
      <c r="D107" s="3">
        <f t="shared" si="8"/>
        <v>4.9999999999999964</v>
      </c>
      <c r="E107" s="3">
        <f t="shared" si="9"/>
        <v>47.666666666666671</v>
      </c>
      <c r="F107" s="3">
        <f t="shared" si="7"/>
        <v>0</v>
      </c>
      <c r="G107" s="3"/>
    </row>
    <row r="108" spans="1:7" x14ac:dyDescent="0.35">
      <c r="A108" s="3">
        <v>9.8000000000000007</v>
      </c>
      <c r="B108" s="3">
        <f t="shared" si="5"/>
        <v>15</v>
      </c>
      <c r="C108" s="3">
        <f t="shared" si="6"/>
        <v>0</v>
      </c>
      <c r="D108" s="3">
        <f t="shared" si="8"/>
        <v>4.9999999999999964</v>
      </c>
      <c r="E108" s="3">
        <f t="shared" si="9"/>
        <v>48.166666666666671</v>
      </c>
      <c r="F108" s="3">
        <f t="shared" si="7"/>
        <v>0</v>
      </c>
      <c r="G108" s="3"/>
    </row>
    <row r="109" spans="1:7" x14ac:dyDescent="0.35">
      <c r="A109" s="3">
        <v>9.9</v>
      </c>
      <c r="B109" s="3">
        <f t="shared" si="5"/>
        <v>15</v>
      </c>
      <c r="C109" s="3">
        <f t="shared" si="6"/>
        <v>0</v>
      </c>
      <c r="D109" s="3">
        <f t="shared" si="8"/>
        <v>4.9999999999999964</v>
      </c>
      <c r="E109" s="3">
        <f t="shared" si="9"/>
        <v>48.666666666666671</v>
      </c>
      <c r="F109" s="3">
        <f t="shared" si="7"/>
        <v>0</v>
      </c>
      <c r="G109" s="3"/>
    </row>
    <row r="110" spans="1:7" x14ac:dyDescent="0.35">
      <c r="A110" s="3">
        <v>10</v>
      </c>
      <c r="B110" s="3">
        <f t="shared" si="5"/>
        <v>15</v>
      </c>
      <c r="C110" s="3">
        <f t="shared" si="6"/>
        <v>0</v>
      </c>
      <c r="D110" s="3">
        <f t="shared" si="8"/>
        <v>4.9999999999999964</v>
      </c>
      <c r="E110" s="3">
        <f t="shared" si="9"/>
        <v>49.166666666666671</v>
      </c>
      <c r="F110" s="3">
        <f t="shared" si="7"/>
        <v>0</v>
      </c>
      <c r="G110" s="3"/>
    </row>
  </sheetData>
  <mergeCells count="3">
    <mergeCell ref="A1:A2"/>
    <mergeCell ref="A3:A4"/>
    <mergeCell ref="D3:D4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46D3C-2F27-441C-BF0E-149A792FC72C}">
  <dimension ref="A1:G110"/>
  <sheetViews>
    <sheetView topLeftCell="F30" zoomScaleNormal="100" workbookViewId="0">
      <selection activeCell="S5" sqref="S5"/>
    </sheetView>
  </sheetViews>
  <sheetFormatPr defaultRowHeight="14.5" x14ac:dyDescent="0.35"/>
  <cols>
    <col min="2" max="2" width="14.6328125" customWidth="1"/>
  </cols>
  <sheetData>
    <row r="1" spans="1:7" x14ac:dyDescent="0.35">
      <c r="A1" s="5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18</v>
      </c>
    </row>
    <row r="2" spans="1:7" x14ac:dyDescent="0.35">
      <c r="A2" s="6"/>
      <c r="B2" s="1">
        <v>1</v>
      </c>
      <c r="C2">
        <v>-10</v>
      </c>
      <c r="D2">
        <v>-1</v>
      </c>
      <c r="E2">
        <v>0.1</v>
      </c>
      <c r="F2">
        <v>15</v>
      </c>
      <c r="G2">
        <v>3</v>
      </c>
    </row>
    <row r="3" spans="1:7" ht="14.5" customHeight="1" x14ac:dyDescent="0.35">
      <c r="A3" s="5" t="s">
        <v>5</v>
      </c>
      <c r="B3" t="s">
        <v>6</v>
      </c>
      <c r="C3" t="s">
        <v>7</v>
      </c>
      <c r="D3" s="5" t="s">
        <v>13</v>
      </c>
      <c r="E3" t="s">
        <v>14</v>
      </c>
    </row>
    <row r="4" spans="1:7" x14ac:dyDescent="0.35">
      <c r="A4" s="6"/>
      <c r="B4">
        <v>0</v>
      </c>
      <c r="C4">
        <v>0</v>
      </c>
      <c r="D4" s="6"/>
      <c r="E4">
        <v>2</v>
      </c>
    </row>
    <row r="9" spans="1:7" s="2" customFormat="1" ht="15.5" x14ac:dyDescent="0.35">
      <c r="A9" s="2" t="s">
        <v>8</v>
      </c>
      <c r="B9" s="2" t="s">
        <v>9</v>
      </c>
      <c r="C9" s="4" t="s">
        <v>10</v>
      </c>
      <c r="D9" s="4" t="s">
        <v>11</v>
      </c>
      <c r="E9" s="4" t="s">
        <v>12</v>
      </c>
      <c r="F9" s="4" t="s">
        <v>15</v>
      </c>
      <c r="G9" s="4" t="s">
        <v>17</v>
      </c>
    </row>
    <row r="10" spans="1:7" x14ac:dyDescent="0.35">
      <c r="A10" s="3">
        <v>0</v>
      </c>
      <c r="B10" s="3">
        <f>$F10*$F$2+$G$2*$G10</f>
        <v>36</v>
      </c>
      <c r="C10" s="3">
        <f>$D$2*$D10+$C$2+$B10</f>
        <v>26</v>
      </c>
      <c r="D10" s="3">
        <v>0</v>
      </c>
      <c r="E10" s="3">
        <v>0</v>
      </c>
      <c r="F10" s="3">
        <f>$E$4-$D10</f>
        <v>2</v>
      </c>
      <c r="G10" s="3">
        <f>$F$10</f>
        <v>2</v>
      </c>
    </row>
    <row r="11" spans="1:7" x14ac:dyDescent="0.35">
      <c r="A11" s="3">
        <v>0.1</v>
      </c>
      <c r="B11" s="3">
        <f t="shared" ref="B11:B74" si="0">$F11*$F$2+$G$2*$G11</f>
        <v>-4.8000000000000025</v>
      </c>
      <c r="C11" s="3">
        <f t="shared" ref="C11:C74" si="1">$D$2*$D11+$C$2+$B11</f>
        <v>-17.400000000000002</v>
      </c>
      <c r="D11" s="3">
        <f>$D10+$C10*$E$2</f>
        <v>2.6</v>
      </c>
      <c r="E11" s="3">
        <f>$E10+$D10*$E$2</f>
        <v>0</v>
      </c>
      <c r="F11" s="3">
        <f t="shared" ref="F11:F74" si="2">$E$4-$D11</f>
        <v>-0.60000000000000009</v>
      </c>
      <c r="G11" s="3">
        <f>$G10+$F11</f>
        <v>1.4</v>
      </c>
    </row>
    <row r="12" spans="1:7" x14ac:dyDescent="0.35">
      <c r="A12" s="3">
        <v>0.2</v>
      </c>
      <c r="B12" s="3">
        <f t="shared" si="0"/>
        <v>24.720000000000002</v>
      </c>
      <c r="C12" s="3">
        <f t="shared" si="1"/>
        <v>13.860000000000003</v>
      </c>
      <c r="D12" s="3">
        <f t="shared" ref="D12:D75" si="3">$D11+$C11*$E$2</f>
        <v>0.85999999999999988</v>
      </c>
      <c r="E12" s="3">
        <f t="shared" ref="E12:E75" si="4">$E11+$D11*$E$2</f>
        <v>0.26</v>
      </c>
      <c r="F12" s="3">
        <f t="shared" si="2"/>
        <v>1.1400000000000001</v>
      </c>
      <c r="G12" s="3">
        <f t="shared" ref="G12:G75" si="5">$G11+$F12</f>
        <v>2.54</v>
      </c>
    </row>
    <row r="13" spans="1:7" x14ac:dyDescent="0.35">
      <c r="A13" s="3">
        <v>0.3</v>
      </c>
      <c r="B13" s="3">
        <f t="shared" si="0"/>
        <v>3.1919999999999922</v>
      </c>
      <c r="C13" s="3">
        <f t="shared" si="1"/>
        <v>-9.0540000000000092</v>
      </c>
      <c r="D13" s="3">
        <f t="shared" si="3"/>
        <v>2.2460000000000004</v>
      </c>
      <c r="E13" s="3">
        <f t="shared" si="4"/>
        <v>0.34599999999999997</v>
      </c>
      <c r="F13" s="3">
        <f t="shared" si="2"/>
        <v>-0.24600000000000044</v>
      </c>
      <c r="G13" s="3">
        <f t="shared" si="5"/>
        <v>2.2939999999999996</v>
      </c>
    </row>
    <row r="14" spans="1:7" x14ac:dyDescent="0.35">
      <c r="A14" s="3">
        <v>0.4</v>
      </c>
      <c r="B14" s="3">
        <f t="shared" si="0"/>
        <v>18.751200000000011</v>
      </c>
      <c r="C14" s="3">
        <f t="shared" si="1"/>
        <v>7.410600000000013</v>
      </c>
      <c r="D14" s="3">
        <f t="shared" si="3"/>
        <v>1.3405999999999993</v>
      </c>
      <c r="E14" s="3">
        <f t="shared" si="4"/>
        <v>0.5706</v>
      </c>
      <c r="F14" s="3">
        <f t="shared" si="2"/>
        <v>0.65940000000000065</v>
      </c>
      <c r="G14" s="3">
        <f t="shared" si="5"/>
        <v>2.9534000000000002</v>
      </c>
    </row>
    <row r="15" spans="1:7" x14ac:dyDescent="0.35">
      <c r="A15" s="3">
        <v>0.5</v>
      </c>
      <c r="B15" s="3">
        <f t="shared" si="0"/>
        <v>7.3903199999999885</v>
      </c>
      <c r="C15" s="3">
        <f t="shared" si="1"/>
        <v>-4.6913400000000127</v>
      </c>
      <c r="D15" s="3">
        <f t="shared" si="3"/>
        <v>2.0816600000000007</v>
      </c>
      <c r="E15" s="3">
        <f t="shared" si="4"/>
        <v>0.70465999999999995</v>
      </c>
      <c r="F15" s="3">
        <f t="shared" si="2"/>
        <v>-8.1660000000000732E-2</v>
      </c>
      <c r="G15" s="3">
        <f t="shared" si="5"/>
        <v>2.8717399999999995</v>
      </c>
    </row>
    <row r="16" spans="1:7" x14ac:dyDescent="0.35">
      <c r="A16" s="3">
        <v>0.6</v>
      </c>
      <c r="B16" s="3">
        <f t="shared" si="0"/>
        <v>15.589752000000008</v>
      </c>
      <c r="C16" s="3">
        <f t="shared" si="1"/>
        <v>3.9772260000000088</v>
      </c>
      <c r="D16" s="3">
        <f t="shared" si="3"/>
        <v>1.6125259999999995</v>
      </c>
      <c r="E16" s="3">
        <f t="shared" si="4"/>
        <v>0.91282600000000003</v>
      </c>
      <c r="F16" s="3">
        <f t="shared" si="2"/>
        <v>0.38747400000000054</v>
      </c>
      <c r="G16" s="3">
        <f t="shared" si="5"/>
        <v>3.2592140000000001</v>
      </c>
    </row>
    <row r="17" spans="1:7" x14ac:dyDescent="0.35">
      <c r="A17" s="3">
        <v>0.7</v>
      </c>
      <c r="B17" s="3">
        <f t="shared" si="0"/>
        <v>9.5931671999999892</v>
      </c>
      <c r="C17" s="3">
        <f t="shared" si="1"/>
        <v>-2.4170814000000114</v>
      </c>
      <c r="D17" s="3">
        <f t="shared" si="3"/>
        <v>2.0102486000000006</v>
      </c>
      <c r="E17" s="3">
        <f t="shared" si="4"/>
        <v>1.0740786</v>
      </c>
      <c r="F17" s="3">
        <f t="shared" si="2"/>
        <v>-1.0248600000000607E-2</v>
      </c>
      <c r="G17" s="3">
        <f t="shared" si="5"/>
        <v>3.2489653999999994</v>
      </c>
    </row>
    <row r="18" spans="1:7" x14ac:dyDescent="0.35">
      <c r="A18" s="3">
        <v>0.8</v>
      </c>
      <c r="B18" s="3">
        <f t="shared" si="0"/>
        <v>13.91316792000001</v>
      </c>
      <c r="C18" s="3">
        <f t="shared" si="1"/>
        <v>2.1446274600000113</v>
      </c>
      <c r="D18" s="3">
        <f t="shared" si="3"/>
        <v>1.7685404599999994</v>
      </c>
      <c r="E18" s="3">
        <f t="shared" si="4"/>
        <v>1.27510346</v>
      </c>
      <c r="F18" s="3">
        <f t="shared" si="2"/>
        <v>0.23145954000000057</v>
      </c>
      <c r="G18" s="3">
        <f t="shared" si="5"/>
        <v>3.4804249399999998</v>
      </c>
    </row>
    <row r="19" spans="1:7" x14ac:dyDescent="0.35">
      <c r="A19" s="3">
        <v>0.9</v>
      </c>
      <c r="B19" s="3">
        <f t="shared" si="0"/>
        <v>10.747217111999987</v>
      </c>
      <c r="C19" s="3">
        <f t="shared" si="1"/>
        <v>-1.235786094000014</v>
      </c>
      <c r="D19" s="3">
        <f t="shared" si="3"/>
        <v>1.9830032060000007</v>
      </c>
      <c r="E19" s="3">
        <f t="shared" si="4"/>
        <v>1.4519575059999998</v>
      </c>
      <c r="F19" s="3">
        <f t="shared" si="2"/>
        <v>1.6996793999999316E-2</v>
      </c>
      <c r="G19" s="3">
        <f t="shared" si="5"/>
        <v>3.4974217339999991</v>
      </c>
    </row>
    <row r="20" spans="1:7" x14ac:dyDescent="0.35">
      <c r="A20" s="3">
        <v>1</v>
      </c>
      <c r="B20" s="3">
        <f t="shared" si="0"/>
        <v>13.022622463200008</v>
      </c>
      <c r="C20" s="3">
        <f t="shared" si="1"/>
        <v>1.163197866600008</v>
      </c>
      <c r="D20" s="3">
        <f t="shared" si="3"/>
        <v>1.8594245965999994</v>
      </c>
      <c r="E20" s="3">
        <f t="shared" si="4"/>
        <v>1.6502578265999999</v>
      </c>
      <c r="F20" s="3">
        <f t="shared" si="2"/>
        <v>0.14057540340000063</v>
      </c>
      <c r="G20" s="3">
        <f t="shared" si="5"/>
        <v>3.6379971373999997</v>
      </c>
    </row>
    <row r="21" spans="1:7" x14ac:dyDescent="0.35">
      <c r="A21" s="3">
        <v>1.1000000000000001</v>
      </c>
      <c r="B21" s="3">
        <f t="shared" si="0"/>
        <v>11.350592513519999</v>
      </c>
      <c r="C21" s="3">
        <f t="shared" si="1"/>
        <v>-0.62515186974000159</v>
      </c>
      <c r="D21" s="3">
        <f t="shared" si="3"/>
        <v>1.9757443832600001</v>
      </c>
      <c r="E21" s="3">
        <f t="shared" si="4"/>
        <v>1.8362002862599998</v>
      </c>
      <c r="F21" s="3">
        <f t="shared" si="2"/>
        <v>2.4255616739999875E-2</v>
      </c>
      <c r="G21" s="3">
        <f t="shared" si="5"/>
        <v>3.6622527541399998</v>
      </c>
    </row>
    <row r="22" spans="1:7" x14ac:dyDescent="0.35">
      <c r="A22" s="3">
        <v>1.2</v>
      </c>
      <c r="B22" s="3">
        <f t="shared" si="0"/>
        <v>12.548632729272001</v>
      </c>
      <c r="C22" s="3">
        <f t="shared" si="1"/>
        <v>0.63540353298600039</v>
      </c>
      <c r="D22" s="3">
        <f t="shared" si="3"/>
        <v>1.913229196286</v>
      </c>
      <c r="E22" s="3">
        <f t="shared" si="4"/>
        <v>2.0337747245859998</v>
      </c>
      <c r="F22" s="3">
        <f t="shared" si="2"/>
        <v>8.6770803714000033E-2</v>
      </c>
      <c r="G22" s="3">
        <f t="shared" si="5"/>
        <v>3.7490235578539997</v>
      </c>
    </row>
    <row r="23" spans="1:7" x14ac:dyDescent="0.35">
      <c r="A23" s="3">
        <v>1.3</v>
      </c>
      <c r="B23" s="3">
        <f t="shared" si="0"/>
        <v>11.665218781039197</v>
      </c>
      <c r="C23" s="3">
        <f t="shared" si="1"/>
        <v>-0.31155076854540198</v>
      </c>
      <c r="D23" s="3">
        <f t="shared" si="3"/>
        <v>1.9767695495846</v>
      </c>
      <c r="E23" s="3">
        <f t="shared" si="4"/>
        <v>2.2250976442145998</v>
      </c>
      <c r="F23" s="3">
        <f t="shared" si="2"/>
        <v>2.323045041539995E-2</v>
      </c>
      <c r="G23" s="3">
        <f t="shared" si="5"/>
        <v>3.7722540082693996</v>
      </c>
    </row>
    <row r="24" spans="1:7" x14ac:dyDescent="0.35">
      <c r="A24" s="3">
        <v>1.4</v>
      </c>
      <c r="B24" s="3">
        <f t="shared" si="0"/>
        <v>12.295701515667121</v>
      </c>
      <c r="C24" s="3">
        <f t="shared" si="1"/>
        <v>0.35008704293706039</v>
      </c>
      <c r="D24" s="3">
        <f t="shared" si="3"/>
        <v>1.9456144727300599</v>
      </c>
      <c r="E24" s="3">
        <f t="shared" si="4"/>
        <v>2.4227745991730596</v>
      </c>
      <c r="F24" s="3">
        <f t="shared" si="2"/>
        <v>5.4385527269940059E-2</v>
      </c>
      <c r="G24" s="3">
        <f t="shared" si="5"/>
        <v>3.8266395355393397</v>
      </c>
    </row>
    <row r="25" spans="1:7" x14ac:dyDescent="0.35">
      <c r="A25" s="3">
        <v>1.5</v>
      </c>
      <c r="B25" s="3">
        <f t="shared" si="0"/>
        <v>11.828701420190233</v>
      </c>
      <c r="C25" s="3">
        <f t="shared" si="1"/>
        <v>-0.15192175683353248</v>
      </c>
      <c r="D25" s="3">
        <f t="shared" si="3"/>
        <v>1.9806231770237659</v>
      </c>
      <c r="E25" s="3">
        <f t="shared" si="4"/>
        <v>2.6173360464460655</v>
      </c>
      <c r="F25" s="3">
        <f t="shared" si="2"/>
        <v>1.9376822976234109E-2</v>
      </c>
      <c r="G25" s="3">
        <f t="shared" si="5"/>
        <v>3.8460163585155738</v>
      </c>
    </row>
    <row r="26" spans="1:7" x14ac:dyDescent="0.35">
      <c r="A26" s="3">
        <v>1.6</v>
      </c>
      <c r="B26" s="3">
        <f t="shared" si="0"/>
        <v>12.160291051419296</v>
      </c>
      <c r="C26" s="3">
        <f t="shared" si="1"/>
        <v>0.19486005007888352</v>
      </c>
      <c r="D26" s="3">
        <f t="shared" si="3"/>
        <v>1.9654310013404126</v>
      </c>
      <c r="E26" s="3">
        <f t="shared" si="4"/>
        <v>2.8153983641484421</v>
      </c>
      <c r="F26" s="3">
        <f t="shared" si="2"/>
        <v>3.4568998659587402E-2</v>
      </c>
      <c r="G26" s="3">
        <f t="shared" si="5"/>
        <v>3.8805853571751614</v>
      </c>
    </row>
    <row r="27" spans="1:7" x14ac:dyDescent="0.35">
      <c r="A27" s="3">
        <v>1.7</v>
      </c>
      <c r="B27" s="3">
        <f t="shared" si="0"/>
        <v>11.913249957256067</v>
      </c>
      <c r="C27" s="3">
        <f t="shared" si="1"/>
        <v>-7.1667049092233981E-2</v>
      </c>
      <c r="D27" s="3">
        <f t="shared" si="3"/>
        <v>1.984917006348301</v>
      </c>
      <c r="E27" s="3">
        <f t="shared" si="4"/>
        <v>3.0119414642824833</v>
      </c>
      <c r="F27" s="3">
        <f t="shared" si="2"/>
        <v>1.5082993651698962E-2</v>
      </c>
      <c r="G27" s="3">
        <f t="shared" si="5"/>
        <v>3.8956683508268606</v>
      </c>
    </row>
    <row r="28" spans="1:7" x14ac:dyDescent="0.35">
      <c r="A28" s="3">
        <v>1.8</v>
      </c>
      <c r="B28" s="3">
        <f t="shared" si="0"/>
        <v>12.087499626577184</v>
      </c>
      <c r="C28" s="3">
        <f t="shared" si="1"/>
        <v>0.10974932513810742</v>
      </c>
      <c r="D28" s="3">
        <f t="shared" si="3"/>
        <v>1.9777503014390776</v>
      </c>
      <c r="E28" s="3">
        <f t="shared" si="4"/>
        <v>3.2104331649173137</v>
      </c>
      <c r="F28" s="3">
        <f t="shared" si="2"/>
        <v>2.2249698560922404E-2</v>
      </c>
      <c r="G28" s="3">
        <f t="shared" si="5"/>
        <v>3.917918049387783</v>
      </c>
    </row>
    <row r="29" spans="1:7" x14ac:dyDescent="0.35">
      <c r="A29" s="3">
        <v>1.9</v>
      </c>
      <c r="B29" s="3">
        <f t="shared" si="0"/>
        <v>11.95669993701136</v>
      </c>
      <c r="C29" s="3">
        <f t="shared" si="1"/>
        <v>-3.2025296941528225E-2</v>
      </c>
      <c r="D29" s="3">
        <f t="shared" si="3"/>
        <v>1.9887252339528882</v>
      </c>
      <c r="E29" s="3">
        <f t="shared" si="4"/>
        <v>3.4082081950612215</v>
      </c>
      <c r="F29" s="3">
        <f t="shared" si="2"/>
        <v>1.1274766047111751E-2</v>
      </c>
      <c r="G29" s="3">
        <f t="shared" si="5"/>
        <v>3.9291928154348947</v>
      </c>
    </row>
    <row r="30" spans="1:7" x14ac:dyDescent="0.35">
      <c r="A30" s="3">
        <v>2</v>
      </c>
      <c r="B30" s="3">
        <f t="shared" si="0"/>
        <v>12.048169769647448</v>
      </c>
      <c r="C30" s="3">
        <f t="shared" si="1"/>
        <v>6.264706538871323E-2</v>
      </c>
      <c r="D30" s="3">
        <f t="shared" si="3"/>
        <v>1.9855227042587353</v>
      </c>
      <c r="E30" s="3">
        <f t="shared" si="4"/>
        <v>3.6070807184565101</v>
      </c>
      <c r="F30" s="3">
        <f t="shared" si="2"/>
        <v>1.4477295741264662E-2</v>
      </c>
      <c r="G30" s="3">
        <f t="shared" si="5"/>
        <v>3.9436701111761594</v>
      </c>
    </row>
    <row r="31" spans="1:7" x14ac:dyDescent="0.35">
      <c r="A31" s="3">
        <v>2.1</v>
      </c>
      <c r="B31" s="3">
        <f t="shared" si="0"/>
        <v>11.978836939171559</v>
      </c>
      <c r="C31" s="3">
        <f t="shared" si="1"/>
        <v>-1.2950471626046678E-2</v>
      </c>
      <c r="D31" s="3">
        <f t="shared" si="3"/>
        <v>1.9917874107976066</v>
      </c>
      <c r="E31" s="3">
        <f t="shared" si="4"/>
        <v>3.8056329888823837</v>
      </c>
      <c r="F31" s="3">
        <f t="shared" si="2"/>
        <v>8.2125892023934277E-3</v>
      </c>
      <c r="G31" s="3">
        <f t="shared" si="5"/>
        <v>3.9518827003785528</v>
      </c>
    </row>
    <row r="32" spans="1:7" x14ac:dyDescent="0.35">
      <c r="A32" s="3">
        <v>2.2000000000000002</v>
      </c>
      <c r="B32" s="3">
        <f t="shared" si="0"/>
        <v>12.026785555705626</v>
      </c>
      <c r="C32" s="3">
        <f t="shared" si="1"/>
        <v>3.6293192070623093E-2</v>
      </c>
      <c r="D32" s="3">
        <f t="shared" si="3"/>
        <v>1.9904923636350018</v>
      </c>
      <c r="E32" s="3">
        <f t="shared" si="4"/>
        <v>4.0048117299621442</v>
      </c>
      <c r="F32" s="3">
        <f t="shared" si="2"/>
        <v>9.5076363649981843E-3</v>
      </c>
      <c r="G32" s="3">
        <f t="shared" si="5"/>
        <v>3.961390336743551</v>
      </c>
    </row>
    <row r="33" spans="1:7" x14ac:dyDescent="0.35">
      <c r="A33" s="3">
        <v>2.2999999999999998</v>
      </c>
      <c r="B33" s="3">
        <f t="shared" si="0"/>
        <v>11.9899807190735</v>
      </c>
      <c r="C33" s="3">
        <f t="shared" si="1"/>
        <v>-4.1409637685632106E-3</v>
      </c>
      <c r="D33" s="3">
        <f t="shared" si="3"/>
        <v>1.994121682842064</v>
      </c>
      <c r="E33" s="3">
        <f t="shared" si="4"/>
        <v>4.2038609663256441</v>
      </c>
      <c r="F33" s="3">
        <f t="shared" si="2"/>
        <v>5.8783171579359639E-3</v>
      </c>
      <c r="G33" s="3">
        <f t="shared" si="5"/>
        <v>3.967268653901487</v>
      </c>
    </row>
    <row r="34" spans="1:7" x14ac:dyDescent="0.35">
      <c r="A34" s="3">
        <v>2.4</v>
      </c>
      <c r="B34" s="3">
        <f t="shared" si="0"/>
        <v>12.015069405330724</v>
      </c>
      <c r="C34" s="3">
        <f t="shared" si="1"/>
        <v>2.1361818865516469E-2</v>
      </c>
      <c r="D34" s="3">
        <f t="shared" si="3"/>
        <v>1.9937075864652076</v>
      </c>
      <c r="E34" s="3">
        <f t="shared" si="4"/>
        <v>4.4032731346098508</v>
      </c>
      <c r="F34" s="3">
        <f t="shared" si="2"/>
        <v>6.2924135347923738E-3</v>
      </c>
      <c r="G34" s="3">
        <f t="shared" si="5"/>
        <v>3.9735610674362793</v>
      </c>
    </row>
    <row r="35" spans="1:7" x14ac:dyDescent="0.35">
      <c r="A35" s="3">
        <v>2.5</v>
      </c>
      <c r="B35" s="3">
        <f t="shared" si="0"/>
        <v>11.995495371977169</v>
      </c>
      <c r="C35" s="3">
        <f t="shared" si="1"/>
        <v>-3.4839637459072037E-4</v>
      </c>
      <c r="D35" s="3">
        <f t="shared" si="3"/>
        <v>1.9958437683517594</v>
      </c>
      <c r="E35" s="3">
        <f t="shared" si="4"/>
        <v>4.6026438932563716</v>
      </c>
      <c r="F35" s="3">
        <f t="shared" si="2"/>
        <v>4.1562316482406381E-3</v>
      </c>
      <c r="G35" s="3">
        <f t="shared" si="5"/>
        <v>3.97771729908452</v>
      </c>
    </row>
    <row r="36" spans="1:7" x14ac:dyDescent="0.35">
      <c r="A36" s="3">
        <v>2.6</v>
      </c>
      <c r="B36" s="3">
        <f t="shared" si="0"/>
        <v>12.008591180396152</v>
      </c>
      <c r="C36" s="3">
        <f t="shared" si="1"/>
        <v>1.2782251681851875E-2</v>
      </c>
      <c r="D36" s="3">
        <f t="shared" si="3"/>
        <v>1.9958089287143004</v>
      </c>
      <c r="E36" s="3">
        <f t="shared" si="4"/>
        <v>4.8022282700915477</v>
      </c>
      <c r="F36" s="3">
        <f t="shared" si="2"/>
        <v>4.1910712856996213E-3</v>
      </c>
      <c r="G36" s="3">
        <f t="shared" si="5"/>
        <v>3.9819083703702196</v>
      </c>
    </row>
    <row r="37" spans="1:7" x14ac:dyDescent="0.35">
      <c r="A37" s="3">
        <v>2.7</v>
      </c>
      <c r="B37" s="3">
        <f t="shared" si="0"/>
        <v>11.99815634122592</v>
      </c>
      <c r="C37" s="3">
        <f t="shared" si="1"/>
        <v>1.069187343434308E-3</v>
      </c>
      <c r="D37" s="3">
        <f t="shared" si="3"/>
        <v>1.9970871538824855</v>
      </c>
      <c r="E37" s="3">
        <f t="shared" si="4"/>
        <v>5.001809162962978</v>
      </c>
      <c r="F37" s="3">
        <f t="shared" si="2"/>
        <v>2.9128461175145226E-3</v>
      </c>
      <c r="G37" s="3">
        <f t="shared" si="5"/>
        <v>3.9848212164877341</v>
      </c>
    </row>
    <row r="38" spans="1:7" x14ac:dyDescent="0.35">
      <c r="A38" s="3">
        <v>2.8</v>
      </c>
      <c r="B38" s="3">
        <f t="shared" si="0"/>
        <v>12.004970342360281</v>
      </c>
      <c r="C38" s="3">
        <f t="shared" si="1"/>
        <v>7.7762697434522465E-3</v>
      </c>
      <c r="D38" s="3">
        <f t="shared" si="3"/>
        <v>1.9971940726168289</v>
      </c>
      <c r="E38" s="3">
        <f t="shared" si="4"/>
        <v>5.2015178783512264</v>
      </c>
      <c r="F38" s="3">
        <f t="shared" si="2"/>
        <v>2.8059273831710918E-3</v>
      </c>
      <c r="G38" s="3">
        <f t="shared" si="5"/>
        <v>3.9876271438709052</v>
      </c>
    </row>
    <row r="39" spans="1:7" x14ac:dyDescent="0.35">
      <c r="A39" s="3">
        <v>2.9</v>
      </c>
      <c r="B39" s="3">
        <f t="shared" si="0"/>
        <v>11.999390838971584</v>
      </c>
      <c r="C39" s="3">
        <f t="shared" si="1"/>
        <v>1.4191393804097174E-3</v>
      </c>
      <c r="D39" s="3">
        <f t="shared" si="3"/>
        <v>1.997971699591174</v>
      </c>
      <c r="E39" s="3">
        <f t="shared" si="4"/>
        <v>5.4012372856129094</v>
      </c>
      <c r="F39" s="3">
        <f t="shared" si="2"/>
        <v>2.028300408825956E-3</v>
      </c>
      <c r="G39" s="3">
        <f t="shared" si="5"/>
        <v>3.9896554442797312</v>
      </c>
    </row>
    <row r="40" spans="1:7" x14ac:dyDescent="0.35">
      <c r="A40" s="3">
        <v>3</v>
      </c>
      <c r="B40" s="3">
        <f t="shared" si="0"/>
        <v>12.002921289313322</v>
      </c>
      <c r="C40" s="3">
        <f t="shared" si="1"/>
        <v>4.8076757841073459E-3</v>
      </c>
      <c r="D40" s="3">
        <f t="shared" si="3"/>
        <v>1.998113613529215</v>
      </c>
      <c r="E40" s="3">
        <f t="shared" si="4"/>
        <v>5.6010344555720266</v>
      </c>
      <c r="F40" s="3">
        <f t="shared" si="2"/>
        <v>1.8863864707849842E-3</v>
      </c>
      <c r="G40" s="3">
        <f t="shared" si="5"/>
        <v>3.9915418307505162</v>
      </c>
    </row>
    <row r="41" spans="1:7" x14ac:dyDescent="0.35">
      <c r="A41" s="3">
        <v>3.1</v>
      </c>
      <c r="B41" s="3">
        <f t="shared" si="0"/>
        <v>11.999926632314287</v>
      </c>
      <c r="C41" s="3">
        <f t="shared" si="1"/>
        <v>1.332251206660473E-3</v>
      </c>
      <c r="D41" s="3">
        <f t="shared" si="3"/>
        <v>1.9985943811076257</v>
      </c>
      <c r="E41" s="3">
        <f t="shared" si="4"/>
        <v>5.8008458169249479</v>
      </c>
      <c r="F41" s="3">
        <f t="shared" si="2"/>
        <v>1.4056188923743385E-3</v>
      </c>
      <c r="G41" s="3">
        <f t="shared" si="5"/>
        <v>3.9929474496428905</v>
      </c>
    </row>
    <row r="42" spans="1:7" x14ac:dyDescent="0.35">
      <c r="A42" s="3">
        <v>3.2</v>
      </c>
      <c r="B42" s="3">
        <f t="shared" si="0"/>
        <v>12.001745436819421</v>
      </c>
      <c r="C42" s="3">
        <f t="shared" si="1"/>
        <v>3.0178305911299219E-3</v>
      </c>
      <c r="D42" s="3">
        <f t="shared" si="3"/>
        <v>1.9987276062282917</v>
      </c>
      <c r="E42" s="3">
        <f t="shared" si="4"/>
        <v>6.0007052550357107</v>
      </c>
      <c r="F42" s="3">
        <f t="shared" si="2"/>
        <v>1.2723937717082912E-3</v>
      </c>
      <c r="G42" s="3">
        <f t="shared" si="5"/>
        <v>3.9942198434145988</v>
      </c>
    </row>
    <row r="43" spans="1:7" x14ac:dyDescent="0.35">
      <c r="A43" s="3">
        <v>3.3</v>
      </c>
      <c r="B43" s="3">
        <f t="shared" si="0"/>
        <v>12.000130523070512</v>
      </c>
      <c r="C43" s="3">
        <f t="shared" si="1"/>
        <v>1.1011337831074997E-3</v>
      </c>
      <c r="D43" s="3">
        <f t="shared" si="3"/>
        <v>1.9990293892874047</v>
      </c>
      <c r="E43" s="3">
        <f t="shared" si="4"/>
        <v>6.2005780156585395</v>
      </c>
      <c r="F43" s="3">
        <f t="shared" si="2"/>
        <v>9.7061071259529896E-4</v>
      </c>
      <c r="G43" s="3">
        <f t="shared" si="5"/>
        <v>3.9951904541271941</v>
      </c>
    </row>
    <row r="44" spans="1:7" x14ac:dyDescent="0.35">
      <c r="A44" s="3">
        <v>3.4</v>
      </c>
      <c r="B44" s="3">
        <f t="shared" si="0"/>
        <v>12.001060314398703</v>
      </c>
      <c r="C44" s="3">
        <f t="shared" si="1"/>
        <v>1.9208117329885255E-3</v>
      </c>
      <c r="D44" s="3">
        <f t="shared" si="3"/>
        <v>1.9991395026657155</v>
      </c>
      <c r="E44" s="3">
        <f t="shared" si="4"/>
        <v>6.4004809545872803</v>
      </c>
      <c r="F44" s="3">
        <f t="shared" si="2"/>
        <v>8.6049733428450459E-4</v>
      </c>
      <c r="G44" s="3">
        <f t="shared" si="5"/>
        <v>3.9960509514614788</v>
      </c>
    </row>
    <row r="45" spans="1:7" x14ac:dyDescent="0.35">
      <c r="A45" s="3">
        <v>3.5</v>
      </c>
      <c r="B45" s="3">
        <f t="shared" si="0"/>
        <v>12.000184345282177</v>
      </c>
      <c r="C45" s="3">
        <f t="shared" si="1"/>
        <v>8.5276144316281943E-4</v>
      </c>
      <c r="D45" s="3">
        <f t="shared" si="3"/>
        <v>1.9993315838390144</v>
      </c>
      <c r="E45" s="3">
        <f t="shared" si="4"/>
        <v>6.6003949048538519</v>
      </c>
      <c r="F45" s="3">
        <f t="shared" si="2"/>
        <v>6.6841616098556322E-4</v>
      </c>
      <c r="G45" s="3">
        <f t="shared" si="5"/>
        <v>3.9967193676224646</v>
      </c>
    </row>
    <row r="46" spans="1:7" x14ac:dyDescent="0.35">
      <c r="A46" s="3">
        <v>3.6</v>
      </c>
      <c r="B46" s="3">
        <f t="shared" si="0"/>
        <v>12.000654623167442</v>
      </c>
      <c r="C46" s="3">
        <f t="shared" si="1"/>
        <v>1.2377631841111736E-3</v>
      </c>
      <c r="D46" s="3">
        <f t="shared" si="3"/>
        <v>1.9994168599833306</v>
      </c>
      <c r="E46" s="3">
        <f t="shared" si="4"/>
        <v>6.8003280632377532</v>
      </c>
      <c r="F46" s="3">
        <f t="shared" si="2"/>
        <v>5.831400166693701E-4</v>
      </c>
      <c r="G46" s="3">
        <f t="shared" si="5"/>
        <v>3.9973025076391338</v>
      </c>
    </row>
    <row r="47" spans="1:7" x14ac:dyDescent="0.35">
      <c r="A47" s="3">
        <v>3.7</v>
      </c>
      <c r="B47" s="3">
        <f t="shared" si="0"/>
        <v>12.000176069486049</v>
      </c>
      <c r="C47" s="3">
        <f t="shared" si="1"/>
        <v>6.3543318430703266E-4</v>
      </c>
      <c r="D47" s="3">
        <f t="shared" si="3"/>
        <v>1.9995406363017418</v>
      </c>
      <c r="E47" s="3">
        <f t="shared" si="4"/>
        <v>7.0002697492360859</v>
      </c>
      <c r="F47" s="3">
        <f t="shared" si="2"/>
        <v>4.5936369825816392E-4</v>
      </c>
      <c r="G47" s="3">
        <f t="shared" si="5"/>
        <v>3.9977618713373921</v>
      </c>
    </row>
    <row r="48" spans="1:7" x14ac:dyDescent="0.35">
      <c r="A48" s="3">
        <v>3.8</v>
      </c>
      <c r="B48" s="3">
        <f t="shared" si="0"/>
        <v>12.000410380849072</v>
      </c>
      <c r="C48" s="3">
        <f t="shared" si="1"/>
        <v>8.0620122889918377E-4</v>
      </c>
      <c r="D48" s="3">
        <f t="shared" si="3"/>
        <v>1.9996041796201725</v>
      </c>
      <c r="E48" s="3">
        <f t="shared" si="4"/>
        <v>7.2002238128662599</v>
      </c>
      <c r="F48" s="3">
        <f t="shared" si="2"/>
        <v>3.9582037982754947E-4</v>
      </c>
      <c r="G48" s="3">
        <f t="shared" si="5"/>
        <v>3.9981576917172195</v>
      </c>
    </row>
    <row r="49" spans="1:7" x14ac:dyDescent="0.35">
      <c r="A49" s="3">
        <v>3.9</v>
      </c>
      <c r="B49" s="3">
        <f t="shared" si="0"/>
        <v>12.000146679776536</v>
      </c>
      <c r="C49" s="3">
        <f t="shared" si="1"/>
        <v>4.618800334732498E-4</v>
      </c>
      <c r="D49" s="3">
        <f t="shared" si="3"/>
        <v>1.9996847997430625</v>
      </c>
      <c r="E49" s="3">
        <f t="shared" si="4"/>
        <v>7.4001842308282768</v>
      </c>
      <c r="F49" s="3">
        <f t="shared" si="2"/>
        <v>3.1520025693754228E-4</v>
      </c>
      <c r="G49" s="3">
        <f t="shared" si="5"/>
        <v>3.9984728919741572</v>
      </c>
    </row>
    <row r="50" spans="1:7" x14ac:dyDescent="0.35">
      <c r="A50" s="3">
        <v>4</v>
      </c>
      <c r="B50" s="3">
        <f t="shared" si="0"/>
        <v>12.000260896487097</v>
      </c>
      <c r="C50" s="3">
        <f t="shared" si="1"/>
        <v>5.2990874068647997E-4</v>
      </c>
      <c r="D50" s="3">
        <f t="shared" si="3"/>
        <v>1.9997309877464098</v>
      </c>
      <c r="E50" s="3">
        <f t="shared" si="4"/>
        <v>7.6001527108025835</v>
      </c>
      <c r="F50" s="3">
        <f t="shared" si="2"/>
        <v>2.690122535902173E-4</v>
      </c>
      <c r="G50" s="3">
        <f t="shared" si="5"/>
        <v>3.9987419042277477</v>
      </c>
    </row>
    <row r="51" spans="1:7" x14ac:dyDescent="0.35">
      <c r="A51" s="3">
        <v>4.0999999999999996</v>
      </c>
      <c r="B51" s="3">
        <f t="shared" si="0"/>
        <v>12.000114097514629</v>
      </c>
      <c r="C51" s="3">
        <f t="shared" si="1"/>
        <v>3.3011889415135443E-4</v>
      </c>
      <c r="D51" s="3">
        <f t="shared" si="3"/>
        <v>1.9997839786204785</v>
      </c>
      <c r="E51" s="3">
        <f t="shared" si="4"/>
        <v>7.8001258095772243</v>
      </c>
      <c r="F51" s="3">
        <f t="shared" si="2"/>
        <v>2.1602137952148048E-4</v>
      </c>
      <c r="G51" s="3">
        <f t="shared" si="5"/>
        <v>3.9989579256072689</v>
      </c>
    </row>
    <row r="52" spans="1:7" x14ac:dyDescent="0.35">
      <c r="A52" s="3">
        <v>4.2</v>
      </c>
      <c r="B52" s="3">
        <f t="shared" si="0"/>
        <v>12.000167947643719</v>
      </c>
      <c r="C52" s="3">
        <f t="shared" si="1"/>
        <v>3.5095713382560234E-4</v>
      </c>
      <c r="D52" s="3">
        <f t="shared" si="3"/>
        <v>1.9998169905098937</v>
      </c>
      <c r="E52" s="3">
        <f t="shared" si="4"/>
        <v>8.0001042074392714</v>
      </c>
      <c r="F52" s="3">
        <f t="shared" si="2"/>
        <v>1.8300949010630063E-4</v>
      </c>
      <c r="G52" s="3">
        <f t="shared" si="5"/>
        <v>3.9991409350973752</v>
      </c>
    </row>
    <row r="53" spans="1:7" x14ac:dyDescent="0.35">
      <c r="A53" s="3">
        <v>4.3</v>
      </c>
      <c r="B53" s="3">
        <f t="shared" si="0"/>
        <v>12.000085253273154</v>
      </c>
      <c r="C53" s="3">
        <f t="shared" si="1"/>
        <v>2.3316704987763615E-4</v>
      </c>
      <c r="D53" s="3">
        <f t="shared" si="3"/>
        <v>1.9998520862232763</v>
      </c>
      <c r="E53" s="3">
        <f t="shared" si="4"/>
        <v>8.2000859064902603</v>
      </c>
      <c r="F53" s="3">
        <f t="shared" si="2"/>
        <v>1.479137767237404E-4</v>
      </c>
      <c r="G53" s="3">
        <f t="shared" si="5"/>
        <v>3.999288848874099</v>
      </c>
    </row>
    <row r="54" spans="1:7" x14ac:dyDescent="0.35">
      <c r="A54" s="3">
        <v>4.4000000000000004</v>
      </c>
      <c r="B54" s="3">
        <f t="shared" si="0"/>
        <v>12.000109293913546</v>
      </c>
      <c r="C54" s="3">
        <f t="shared" si="1"/>
        <v>2.3389098528170393E-4</v>
      </c>
      <c r="D54" s="3">
        <f t="shared" si="3"/>
        <v>1.9998754029282639</v>
      </c>
      <c r="E54" s="3">
        <f t="shared" si="4"/>
        <v>8.4000711151125884</v>
      </c>
      <c r="F54" s="3">
        <f t="shared" si="2"/>
        <v>1.245970717360656E-4</v>
      </c>
      <c r="G54" s="3">
        <f t="shared" si="5"/>
        <v>3.999413445945835</v>
      </c>
    </row>
    <row r="55" spans="1:7" x14ac:dyDescent="0.35">
      <c r="A55" s="3">
        <v>4.5</v>
      </c>
      <c r="B55" s="3">
        <f t="shared" si="0"/>
        <v>12.000062081355248</v>
      </c>
      <c r="C55" s="3">
        <f t="shared" si="1"/>
        <v>1.6328932845510735E-4</v>
      </c>
      <c r="D55" s="3">
        <f t="shared" si="3"/>
        <v>1.9998987920267921</v>
      </c>
      <c r="E55" s="3">
        <f t="shared" si="4"/>
        <v>8.6000586554054141</v>
      </c>
      <c r="F55" s="3">
        <f t="shared" si="2"/>
        <v>1.0120797320789521E-4</v>
      </c>
      <c r="G55" s="3">
        <f t="shared" si="5"/>
        <v>3.9995146539190429</v>
      </c>
    </row>
    <row r="56" spans="1:7" x14ac:dyDescent="0.35">
      <c r="A56" s="3">
        <v>4.5999999999999996</v>
      </c>
      <c r="B56" s="3">
        <f t="shared" si="0"/>
        <v>12.000071784483655</v>
      </c>
      <c r="C56" s="3">
        <f t="shared" si="1"/>
        <v>1.5666352401666472E-4</v>
      </c>
      <c r="D56" s="3">
        <f t="shared" si="3"/>
        <v>1.9999151209596375</v>
      </c>
      <c r="E56" s="3">
        <f t="shared" si="4"/>
        <v>8.8000485346080932</v>
      </c>
      <c r="F56" s="3">
        <f t="shared" si="2"/>
        <v>8.487904036247329E-5</v>
      </c>
      <c r="G56" s="3">
        <f t="shared" si="5"/>
        <v>3.9995995329594054</v>
      </c>
    </row>
    <row r="57" spans="1:7" x14ac:dyDescent="0.35">
      <c r="A57" s="3">
        <v>4.7</v>
      </c>
      <c r="B57" s="3">
        <f t="shared" si="0"/>
        <v>12.000044427261512</v>
      </c>
      <c r="C57" s="3">
        <f t="shared" si="1"/>
        <v>1.1363994947366507E-4</v>
      </c>
      <c r="D57" s="3">
        <f t="shared" si="3"/>
        <v>1.9999307873120391</v>
      </c>
      <c r="E57" s="3">
        <f t="shared" si="4"/>
        <v>9.0000400467040578</v>
      </c>
      <c r="F57" s="3">
        <f t="shared" si="2"/>
        <v>6.9212687960895636E-5</v>
      </c>
      <c r="G57" s="3">
        <f t="shared" si="5"/>
        <v>3.9996687456473663</v>
      </c>
    </row>
    <row r="58" spans="1:7" x14ac:dyDescent="0.35">
      <c r="A58" s="3">
        <v>4.8</v>
      </c>
      <c r="B58" s="3">
        <f t="shared" si="0"/>
        <v>12.000047513416344</v>
      </c>
      <c r="C58" s="3">
        <f t="shared" si="1"/>
        <v>1.0536210935896406E-4</v>
      </c>
      <c r="D58" s="3">
        <f t="shared" si="3"/>
        <v>1.9999421513069864</v>
      </c>
      <c r="E58" s="3">
        <f t="shared" si="4"/>
        <v>9.2000331254352616</v>
      </c>
      <c r="F58" s="3">
        <f t="shared" si="2"/>
        <v>5.7848693013617947E-5</v>
      </c>
      <c r="G58" s="3">
        <f t="shared" si="5"/>
        <v>3.9997265943403799</v>
      </c>
    </row>
    <row r="59" spans="1:7" x14ac:dyDescent="0.35">
      <c r="A59" s="3">
        <v>4.9000000000000004</v>
      </c>
      <c r="B59" s="3">
        <f t="shared" si="0"/>
        <v>12.000031407698536</v>
      </c>
      <c r="C59" s="3">
        <f t="shared" si="1"/>
        <v>7.8720180614055835E-5</v>
      </c>
      <c r="D59" s="3">
        <f t="shared" si="3"/>
        <v>1.9999526875179223</v>
      </c>
      <c r="E59" s="3">
        <f t="shared" si="4"/>
        <v>9.4000273405659609</v>
      </c>
      <c r="F59" s="3">
        <f t="shared" si="2"/>
        <v>4.7312482077677132E-5</v>
      </c>
      <c r="G59" s="3">
        <f t="shared" si="5"/>
        <v>3.9997739068224574</v>
      </c>
    </row>
    <row r="60" spans="1:7" x14ac:dyDescent="0.35">
      <c r="A60" s="3">
        <v>5</v>
      </c>
      <c r="B60" s="3">
        <f t="shared" si="0"/>
        <v>12.000031648819666</v>
      </c>
      <c r="C60" s="3">
        <f t="shared" si="1"/>
        <v>7.1089283682823634E-5</v>
      </c>
      <c r="D60" s="3">
        <f t="shared" si="3"/>
        <v>1.9999605595359837</v>
      </c>
      <c r="E60" s="3">
        <f t="shared" si="4"/>
        <v>9.6000226093177528</v>
      </c>
      <c r="F60" s="3">
        <f t="shared" si="2"/>
        <v>3.9440464016271548E-5</v>
      </c>
      <c r="G60" s="3">
        <f t="shared" si="5"/>
        <v>3.9998133472864739</v>
      </c>
    </row>
    <row r="61" spans="1:7" x14ac:dyDescent="0.35">
      <c r="A61" s="3">
        <v>5.0999999999999996</v>
      </c>
      <c r="B61" s="3">
        <f t="shared" si="0"/>
        <v>12.000022009501086</v>
      </c>
      <c r="C61" s="3">
        <f t="shared" si="1"/>
        <v>5.4341036733518422E-5</v>
      </c>
      <c r="D61" s="3">
        <f t="shared" si="3"/>
        <v>1.9999676684643519</v>
      </c>
      <c r="E61" s="3">
        <f t="shared" si="4"/>
        <v>9.8000186652713506</v>
      </c>
      <c r="F61" s="3">
        <f t="shared" si="2"/>
        <v>3.2331535648078003E-5</v>
      </c>
      <c r="G61" s="3">
        <f t="shared" si="5"/>
        <v>3.9998456788221217</v>
      </c>
    </row>
    <row r="62" spans="1:7" x14ac:dyDescent="0.35">
      <c r="A62" s="3">
        <v>5.2</v>
      </c>
      <c r="B62" s="3">
        <f t="shared" si="0"/>
        <v>12.000021190241913</v>
      </c>
      <c r="C62" s="3">
        <f t="shared" si="1"/>
        <v>4.8087673887309279E-5</v>
      </c>
      <c r="D62" s="3">
        <f t="shared" si="3"/>
        <v>1.9999731025680252</v>
      </c>
      <c r="E62" s="3">
        <f t="shared" si="4"/>
        <v>10.000015432117786</v>
      </c>
      <c r="F62" s="3">
        <f t="shared" si="2"/>
        <v>2.6897431974814978E-5</v>
      </c>
      <c r="G62" s="3">
        <f t="shared" si="5"/>
        <v>3.9998725762540968</v>
      </c>
    </row>
    <row r="63" spans="1:7" x14ac:dyDescent="0.35">
      <c r="A63" s="3">
        <v>5.3</v>
      </c>
      <c r="B63" s="3">
        <f t="shared" si="0"/>
        <v>12.00001532472484</v>
      </c>
      <c r="C63" s="3">
        <f t="shared" si="1"/>
        <v>3.7413389426532717E-5</v>
      </c>
      <c r="D63" s="3">
        <f t="shared" si="3"/>
        <v>1.9999779113354139</v>
      </c>
      <c r="E63" s="3">
        <f t="shared" si="4"/>
        <v>10.200012742374589</v>
      </c>
      <c r="F63" s="3">
        <f t="shared" si="2"/>
        <v>2.208866458608405E-5</v>
      </c>
      <c r="G63" s="3">
        <f t="shared" si="5"/>
        <v>3.9998946649186831</v>
      </c>
    </row>
    <row r="64" spans="1:7" x14ac:dyDescent="0.35">
      <c r="A64" s="3">
        <v>5.4</v>
      </c>
      <c r="B64" s="3">
        <f t="shared" si="0"/>
        <v>12.000014246617631</v>
      </c>
      <c r="C64" s="3">
        <f t="shared" si="1"/>
        <v>3.2593943274150661E-5</v>
      </c>
      <c r="D64" s="3">
        <f t="shared" si="3"/>
        <v>1.9999816526743566</v>
      </c>
      <c r="E64" s="3">
        <f t="shared" si="4"/>
        <v>10.40001053350813</v>
      </c>
      <c r="F64" s="3">
        <f t="shared" si="2"/>
        <v>1.8347325643430779E-5</v>
      </c>
      <c r="G64" s="3">
        <f t="shared" si="5"/>
        <v>3.9999130122443267</v>
      </c>
    </row>
    <row r="65" spans="1:7" x14ac:dyDescent="0.35">
      <c r="A65" s="3">
        <v>5.5</v>
      </c>
      <c r="B65" s="3">
        <f t="shared" si="0"/>
        <v>12.000010619496669</v>
      </c>
      <c r="C65" s="3">
        <f t="shared" si="1"/>
        <v>2.5707427985466325E-5</v>
      </c>
      <c r="D65" s="3">
        <f t="shared" si="3"/>
        <v>1.9999849120686839</v>
      </c>
      <c r="E65" s="3">
        <f t="shared" si="4"/>
        <v>10.600008698775566</v>
      </c>
      <c r="F65" s="3">
        <f t="shared" si="2"/>
        <v>1.508793131610453E-5</v>
      </c>
      <c r="G65" s="3">
        <f t="shared" si="5"/>
        <v>3.9999281001756426</v>
      </c>
    </row>
    <row r="66" spans="1:7" x14ac:dyDescent="0.35">
      <c r="A66" s="3">
        <v>5.6</v>
      </c>
      <c r="B66" s="3">
        <f t="shared" si="0"/>
        <v>12.000009609920243</v>
      </c>
      <c r="C66" s="3">
        <f t="shared" si="1"/>
        <v>2.2127108760372494E-5</v>
      </c>
      <c r="D66" s="3">
        <f t="shared" si="3"/>
        <v>1.9999874828114825</v>
      </c>
      <c r="E66" s="3">
        <f t="shared" si="4"/>
        <v>10.800007189982434</v>
      </c>
      <c r="F66" s="3">
        <f t="shared" si="2"/>
        <v>1.251718851746908E-5</v>
      </c>
      <c r="G66" s="3">
        <f t="shared" si="5"/>
        <v>3.9999406173641603</v>
      </c>
    </row>
    <row r="67" spans="1:7" x14ac:dyDescent="0.35">
      <c r="A67" s="3">
        <v>5.7</v>
      </c>
      <c r="B67" s="3">
        <f t="shared" si="0"/>
        <v>12.000007332690027</v>
      </c>
      <c r="C67" s="3">
        <f t="shared" si="1"/>
        <v>1.7637167667672315E-5</v>
      </c>
      <c r="D67" s="3">
        <f t="shared" si="3"/>
        <v>1.9999896955223586</v>
      </c>
      <c r="E67" s="3">
        <f t="shared" si="4"/>
        <v>11.000005938263582</v>
      </c>
      <c r="F67" s="3">
        <f t="shared" si="2"/>
        <v>1.0304477641387422E-5</v>
      </c>
      <c r="G67" s="3">
        <f t="shared" si="5"/>
        <v>3.9999509218418017</v>
      </c>
    </row>
    <row r="68" spans="1:7" x14ac:dyDescent="0.35">
      <c r="A68" s="3">
        <v>5.8</v>
      </c>
      <c r="B68" s="3">
        <f t="shared" si="0"/>
        <v>12.000006499221147</v>
      </c>
      <c r="C68" s="3">
        <f t="shared" si="1"/>
        <v>1.5039982020681464E-5</v>
      </c>
      <c r="D68" s="3">
        <f t="shared" si="3"/>
        <v>1.9999914592391255</v>
      </c>
      <c r="E68" s="3">
        <f t="shared" si="4"/>
        <v>11.200004907815819</v>
      </c>
      <c r="F68" s="3">
        <f t="shared" si="2"/>
        <v>8.5407608745313723E-6</v>
      </c>
      <c r="G68" s="3">
        <f t="shared" si="5"/>
        <v>3.9999594626026762</v>
      </c>
    </row>
    <row r="69" spans="1:7" x14ac:dyDescent="0.35">
      <c r="A69" s="3">
        <v>5.9</v>
      </c>
      <c r="B69" s="3">
        <f t="shared" si="0"/>
        <v>12.000005049536133</v>
      </c>
      <c r="C69" s="3">
        <f t="shared" si="1"/>
        <v>1.2086298806224249E-5</v>
      </c>
      <c r="D69" s="3">
        <f t="shared" si="3"/>
        <v>1.9999929632373274</v>
      </c>
      <c r="E69" s="3">
        <f t="shared" si="4"/>
        <v>11.400004053739732</v>
      </c>
      <c r="F69" s="3">
        <f t="shared" si="2"/>
        <v>7.0367626725520438E-6</v>
      </c>
      <c r="G69" s="3">
        <f t="shared" si="5"/>
        <v>3.9999664993653488</v>
      </c>
    </row>
    <row r="70" spans="1:7" x14ac:dyDescent="0.35">
      <c r="A70" s="3">
        <v>6</v>
      </c>
      <c r="B70" s="3">
        <f t="shared" si="0"/>
        <v>12.000004404486301</v>
      </c>
      <c r="C70" s="3">
        <f t="shared" si="1"/>
        <v>1.0232619093386575E-5</v>
      </c>
      <c r="D70" s="3">
        <f t="shared" si="3"/>
        <v>1.9999941718672081</v>
      </c>
      <c r="E70" s="3">
        <f t="shared" si="4"/>
        <v>11.600003350063465</v>
      </c>
      <c r="F70" s="3">
        <f t="shared" si="2"/>
        <v>5.8281327919296189E-6</v>
      </c>
      <c r="G70" s="3">
        <f t="shared" si="5"/>
        <v>3.9999723274981407</v>
      </c>
    </row>
    <row r="71" spans="1:7" x14ac:dyDescent="0.35">
      <c r="A71" s="3">
        <v>6.1</v>
      </c>
      <c r="B71" s="3">
        <f t="shared" si="0"/>
        <v>12.000003470170306</v>
      </c>
      <c r="C71" s="3">
        <f t="shared" si="1"/>
        <v>8.275041189165222E-6</v>
      </c>
      <c r="D71" s="3">
        <f t="shared" si="3"/>
        <v>1.9999951951291175</v>
      </c>
      <c r="E71" s="3">
        <f t="shared" si="4"/>
        <v>11.800002767250186</v>
      </c>
      <c r="F71" s="3">
        <f t="shared" si="2"/>
        <v>4.8048708825021436E-6</v>
      </c>
      <c r="G71" s="3">
        <f t="shared" si="5"/>
        <v>3.9999771323690232</v>
      </c>
    </row>
    <row r="72" spans="1:7" x14ac:dyDescent="0.35">
      <c r="A72" s="3">
        <v>6.2</v>
      </c>
      <c r="B72" s="3">
        <f t="shared" si="0"/>
        <v>12.000002989708813</v>
      </c>
      <c r="C72" s="3">
        <f t="shared" si="1"/>
        <v>6.9670755760142811E-6</v>
      </c>
      <c r="D72" s="3">
        <f t="shared" si="3"/>
        <v>1.9999960226332365</v>
      </c>
      <c r="E72" s="3">
        <f t="shared" si="4"/>
        <v>12.000002286763097</v>
      </c>
      <c r="F72" s="3">
        <f t="shared" si="2"/>
        <v>3.9773667634968035E-6</v>
      </c>
      <c r="G72" s="3">
        <f t="shared" si="5"/>
        <v>3.9999811097357867</v>
      </c>
    </row>
    <row r="73" spans="1:7" x14ac:dyDescent="0.35">
      <c r="A73" s="3">
        <v>6.3</v>
      </c>
      <c r="B73" s="3">
        <f t="shared" si="0"/>
        <v>12.000002381073065</v>
      </c>
      <c r="C73" s="3">
        <f t="shared" si="1"/>
        <v>5.6617322705676543E-6</v>
      </c>
      <c r="D73" s="3">
        <f t="shared" si="3"/>
        <v>1.9999967193407941</v>
      </c>
      <c r="E73" s="3">
        <f t="shared" si="4"/>
        <v>12.200001889026421</v>
      </c>
      <c r="F73" s="3">
        <f t="shared" si="2"/>
        <v>3.2806592058509665E-6</v>
      </c>
      <c r="G73" s="3">
        <f t="shared" si="5"/>
        <v>3.9999843903949923</v>
      </c>
    </row>
    <row r="74" spans="1:7" x14ac:dyDescent="0.35">
      <c r="A74" s="3">
        <v>6.4</v>
      </c>
      <c r="B74" s="3">
        <f t="shared" si="0"/>
        <v>12.000002031932597</v>
      </c>
      <c r="C74" s="3">
        <f t="shared" si="1"/>
        <v>4.746418575507505E-6</v>
      </c>
      <c r="D74" s="3">
        <f t="shared" si="3"/>
        <v>1.9999972855140211</v>
      </c>
      <c r="E74" s="3">
        <f t="shared" si="4"/>
        <v>12.400001560960501</v>
      </c>
      <c r="F74" s="3">
        <f t="shared" si="2"/>
        <v>2.7144859788830189E-6</v>
      </c>
      <c r="G74" s="3">
        <f t="shared" si="5"/>
        <v>3.9999871048809714</v>
      </c>
    </row>
    <row r="75" spans="1:7" x14ac:dyDescent="0.35">
      <c r="A75" s="3">
        <v>6.5</v>
      </c>
      <c r="B75" s="3">
        <f t="shared" ref="B75:B110" si="6">$F75*$F$2+$G$2*$G75</f>
        <v>12.000001631837097</v>
      </c>
      <c r="C75" s="3">
        <f t="shared" ref="C75:C110" si="7">$D$2*$D75+$C$2+$B75</f>
        <v>3.8716812191808003E-6</v>
      </c>
      <c r="D75" s="3">
        <f t="shared" si="3"/>
        <v>1.9999977601558787</v>
      </c>
      <c r="E75" s="3">
        <f t="shared" si="4"/>
        <v>12.600001289511903</v>
      </c>
      <c r="F75" s="3">
        <f t="shared" ref="F75:F110" si="8">$E$4-$D75</f>
        <v>2.2398441212878595E-6</v>
      </c>
      <c r="G75" s="3">
        <f t="shared" si="5"/>
        <v>3.9999893447250927</v>
      </c>
    </row>
    <row r="76" spans="1:7" x14ac:dyDescent="0.35">
      <c r="A76" s="3">
        <v>6.6</v>
      </c>
      <c r="B76" s="3">
        <f t="shared" si="6"/>
        <v>12.000001382343264</v>
      </c>
      <c r="C76" s="3">
        <f t="shared" si="7"/>
        <v>3.2350192640251407E-6</v>
      </c>
      <c r="D76" s="3">
        <f t="shared" ref="D76:D110" si="9">$D75+$C75*$E$2</f>
        <v>1.9999981473240007</v>
      </c>
      <c r="E76" s="3">
        <f t="shared" ref="E76:E110" si="10">$E75+$D75*$E$2</f>
        <v>12.800001065527491</v>
      </c>
      <c r="F76" s="3">
        <f t="shared" si="8"/>
        <v>1.8526759992809616E-6</v>
      </c>
      <c r="G76" s="3">
        <f t="shared" ref="G76:G110" si="11">$G75+$F76</f>
        <v>3.999991197401092</v>
      </c>
    </row>
    <row r="77" spans="1:7" x14ac:dyDescent="0.35">
      <c r="A77" s="3">
        <v>6.7</v>
      </c>
      <c r="B77" s="3">
        <f t="shared" si="6"/>
        <v>12.000001117336589</v>
      </c>
      <c r="C77" s="3">
        <f t="shared" si="7"/>
        <v>2.6465106621742507E-6</v>
      </c>
      <c r="D77" s="3">
        <f t="shared" si="9"/>
        <v>1.9999984708259271</v>
      </c>
      <c r="E77" s="3">
        <f t="shared" si="10"/>
        <v>13.000000880259892</v>
      </c>
      <c r="F77" s="3">
        <f t="shared" si="8"/>
        <v>1.5291740729228565E-6</v>
      </c>
      <c r="G77" s="3">
        <f t="shared" si="11"/>
        <v>3.9999927265751651</v>
      </c>
    </row>
    <row r="78" spans="1:7" x14ac:dyDescent="0.35">
      <c r="A78" s="3">
        <v>6.8</v>
      </c>
      <c r="B78" s="3">
        <f t="shared" si="6"/>
        <v>12.000000941139616</v>
      </c>
      <c r="C78" s="3">
        <f t="shared" si="7"/>
        <v>2.205662623211424E-6</v>
      </c>
      <c r="D78" s="3">
        <f t="shared" si="9"/>
        <v>1.9999987354769933</v>
      </c>
      <c r="E78" s="3">
        <f t="shared" si="10"/>
        <v>13.200000727342484</v>
      </c>
      <c r="F78" s="3">
        <f t="shared" si="8"/>
        <v>1.2645230067498403E-6</v>
      </c>
      <c r="G78" s="3">
        <f t="shared" si="11"/>
        <v>3.9999939910981719</v>
      </c>
    </row>
    <row r="79" spans="1:7" x14ac:dyDescent="0.35">
      <c r="A79" s="3">
        <v>6.9</v>
      </c>
      <c r="B79" s="3">
        <f t="shared" si="6"/>
        <v>12.000000764515915</v>
      </c>
      <c r="C79" s="3">
        <f t="shared" si="7"/>
        <v>1.8084726605138712E-6</v>
      </c>
      <c r="D79" s="3">
        <f t="shared" si="9"/>
        <v>1.9999989560432556</v>
      </c>
      <c r="E79" s="3">
        <f t="shared" si="10"/>
        <v>13.400000600890184</v>
      </c>
      <c r="F79" s="3">
        <f t="shared" si="8"/>
        <v>1.043956744384289E-6</v>
      </c>
      <c r="G79" s="3">
        <f t="shared" si="11"/>
        <v>3.9999950350549165</v>
      </c>
    </row>
    <row r="80" spans="1:7" x14ac:dyDescent="0.35">
      <c r="A80" s="3">
        <v>7</v>
      </c>
      <c r="B80" s="3">
        <f t="shared" si="6"/>
        <v>12.000000641135358</v>
      </c>
      <c r="C80" s="3">
        <f t="shared" si="7"/>
        <v>1.5042448371360706E-6</v>
      </c>
      <c r="D80" s="3">
        <f t="shared" si="9"/>
        <v>1.9999991368905217</v>
      </c>
      <c r="E80" s="3">
        <f t="shared" si="10"/>
        <v>13.600000496494509</v>
      </c>
      <c r="F80" s="3">
        <f t="shared" si="8"/>
        <v>8.6310947833290186E-7</v>
      </c>
      <c r="G80" s="3">
        <f t="shared" si="11"/>
        <v>3.9999958981643946</v>
      </c>
    </row>
    <row r="81" spans="1:7" x14ac:dyDescent="0.35">
      <c r="A81" s="3">
        <v>7.1</v>
      </c>
      <c r="B81" s="3">
        <f t="shared" si="6"/>
        <v>12.000000522823086</v>
      </c>
      <c r="C81" s="3">
        <f t="shared" si="7"/>
        <v>1.2355080798442941E-6</v>
      </c>
      <c r="D81" s="3">
        <f t="shared" si="9"/>
        <v>1.9999992873150054</v>
      </c>
      <c r="E81" s="3">
        <f t="shared" si="10"/>
        <v>13.800000410183561</v>
      </c>
      <c r="F81" s="3">
        <f t="shared" si="8"/>
        <v>7.1268499457488588E-7</v>
      </c>
      <c r="G81" s="3">
        <f t="shared" si="11"/>
        <v>3.9999966108493892</v>
      </c>
    </row>
    <row r="82" spans="1:7" x14ac:dyDescent="0.35">
      <c r="A82" s="3">
        <v>7.2</v>
      </c>
      <c r="B82" s="3">
        <f t="shared" si="6"/>
        <v>12.000000436963527</v>
      </c>
      <c r="C82" s="3">
        <f t="shared" si="7"/>
        <v>1.0260977134635141E-6</v>
      </c>
      <c r="D82" s="3">
        <f t="shared" si="9"/>
        <v>1.9999994108658135</v>
      </c>
      <c r="E82" s="3">
        <f t="shared" si="10"/>
        <v>14.000000338915061</v>
      </c>
      <c r="F82" s="3">
        <f t="shared" si="8"/>
        <v>5.8913418654604754E-7</v>
      </c>
      <c r="G82" s="3">
        <f t="shared" si="11"/>
        <v>3.9999971999835759</v>
      </c>
    </row>
    <row r="83" spans="1:7" x14ac:dyDescent="0.35">
      <c r="A83" s="3">
        <v>7.3</v>
      </c>
      <c r="B83" s="3">
        <f t="shared" si="6"/>
        <v>12.000000357390201</v>
      </c>
      <c r="C83" s="3">
        <f t="shared" si="7"/>
        <v>8.4391461641075693E-7</v>
      </c>
      <c r="D83" s="3">
        <f t="shared" si="9"/>
        <v>1.9999995134755848</v>
      </c>
      <c r="E83" s="3">
        <f t="shared" si="10"/>
        <v>14.200000280001642</v>
      </c>
      <c r="F83" s="3">
        <f t="shared" si="8"/>
        <v>4.8652441519969614E-7</v>
      </c>
      <c r="G83" s="3">
        <f t="shared" si="11"/>
        <v>3.9999976865079914</v>
      </c>
    </row>
    <row r="84" spans="1:7" x14ac:dyDescent="0.35">
      <c r="A84" s="3">
        <v>7.4</v>
      </c>
      <c r="B84" s="3">
        <f t="shared" si="6"/>
        <v>12.00000029791714</v>
      </c>
      <c r="C84" s="3">
        <f t="shared" si="7"/>
        <v>7.0005009433771193E-7</v>
      </c>
      <c r="D84" s="3">
        <f t="shared" si="9"/>
        <v>1.9999995978670464</v>
      </c>
      <c r="E84" s="3">
        <f t="shared" si="10"/>
        <v>14.400000231349201</v>
      </c>
      <c r="F84" s="3">
        <f t="shared" si="8"/>
        <v>4.0213295360302936E-7</v>
      </c>
      <c r="G84" s="3">
        <f t="shared" si="11"/>
        <v>3.999998088640945</v>
      </c>
    </row>
    <row r="85" spans="1:7" x14ac:dyDescent="0.35">
      <c r="A85" s="3">
        <v>7.5</v>
      </c>
      <c r="B85" s="3">
        <f t="shared" si="6"/>
        <v>12.000000244225831</v>
      </c>
      <c r="C85" s="3">
        <f t="shared" si="7"/>
        <v>5.7635377537224031E-7</v>
      </c>
      <c r="D85" s="3">
        <f t="shared" si="9"/>
        <v>1.9999996678720557</v>
      </c>
      <c r="E85" s="3">
        <f t="shared" si="10"/>
        <v>14.600000191135907</v>
      </c>
      <c r="F85" s="3">
        <f t="shared" si="8"/>
        <v>3.3212794425807601E-7</v>
      </c>
      <c r="G85" s="3">
        <f t="shared" si="11"/>
        <v>3.9999984207688892</v>
      </c>
    </row>
    <row r="86" spans="1:7" x14ac:dyDescent="0.35">
      <c r="A86" s="3">
        <v>7.6</v>
      </c>
      <c r="B86" s="3">
        <f t="shared" si="6"/>
        <v>12.000000203172867</v>
      </c>
      <c r="C86" s="3">
        <f t="shared" si="7"/>
        <v>4.7766543431748687E-7</v>
      </c>
      <c r="D86" s="3">
        <f t="shared" si="9"/>
        <v>1.9999997255074333</v>
      </c>
      <c r="E86" s="3">
        <f t="shared" si="10"/>
        <v>14.800000157923112</v>
      </c>
      <c r="F86" s="3">
        <f t="shared" si="8"/>
        <v>2.7449256667644306E-7</v>
      </c>
      <c r="G86" s="3">
        <f t="shared" si="11"/>
        <v>3.9999986952614561</v>
      </c>
    </row>
    <row r="87" spans="1:7" x14ac:dyDescent="0.35">
      <c r="A87" s="3">
        <v>7.7</v>
      </c>
      <c r="B87" s="3">
        <f t="shared" si="6"/>
        <v>12.000000166852788</v>
      </c>
      <c r="C87" s="3">
        <f t="shared" si="7"/>
        <v>3.9357881043144971E-7</v>
      </c>
      <c r="D87" s="3">
        <f t="shared" si="9"/>
        <v>1.9999997732739767</v>
      </c>
      <c r="E87" s="3">
        <f t="shared" si="10"/>
        <v>15.000000130473856</v>
      </c>
      <c r="F87" s="3">
        <f t="shared" si="8"/>
        <v>2.267260232891033E-7</v>
      </c>
      <c r="G87" s="3">
        <f t="shared" si="11"/>
        <v>3.9999989219874794</v>
      </c>
    </row>
    <row r="88" spans="1:7" x14ac:dyDescent="0.35">
      <c r="A88" s="3">
        <v>7.8</v>
      </c>
      <c r="B88" s="3">
        <f t="shared" si="6"/>
        <v>12.000000138589</v>
      </c>
      <c r="C88" s="3">
        <f t="shared" si="7"/>
        <v>3.2595714216654414E-7</v>
      </c>
      <c r="D88" s="3">
        <f t="shared" si="9"/>
        <v>1.9999998126318577</v>
      </c>
      <c r="E88" s="3">
        <f t="shared" si="10"/>
        <v>15.200000107801253</v>
      </c>
      <c r="F88" s="3">
        <f t="shared" si="8"/>
        <v>1.8736814233477617E-7</v>
      </c>
      <c r="G88" s="3">
        <f t="shared" si="11"/>
        <v>3.9999991093556218</v>
      </c>
    </row>
    <row r="89" spans="1:7" x14ac:dyDescent="0.35">
      <c r="A89" s="3">
        <v>7.9</v>
      </c>
      <c r="B89" s="3">
        <f t="shared" si="6"/>
        <v>12.000000113970573</v>
      </c>
      <c r="C89" s="3">
        <f t="shared" si="7"/>
        <v>2.6874300118606698E-7</v>
      </c>
      <c r="D89" s="3">
        <f t="shared" si="9"/>
        <v>1.9999998452275718</v>
      </c>
      <c r="E89" s="3">
        <f t="shared" si="10"/>
        <v>15.40000008906444</v>
      </c>
      <c r="F89" s="3">
        <f t="shared" si="8"/>
        <v>1.5477242820693959E-7</v>
      </c>
      <c r="G89" s="3">
        <f t="shared" si="11"/>
        <v>3.99999926412805</v>
      </c>
    </row>
    <row r="90" spans="1:7" x14ac:dyDescent="0.35">
      <c r="A90" s="3">
        <v>8</v>
      </c>
      <c r="B90" s="3">
        <f t="shared" si="6"/>
        <v>12.000000094550456</v>
      </c>
      <c r="C90" s="3">
        <f t="shared" si="7"/>
        <v>2.2244858399744771E-7</v>
      </c>
      <c r="D90" s="3">
        <f t="shared" si="9"/>
        <v>1.9999998721018719</v>
      </c>
      <c r="E90" s="3">
        <f t="shared" si="10"/>
        <v>15.600000073587196</v>
      </c>
      <c r="F90" s="3">
        <f t="shared" si="8"/>
        <v>1.278981280883329E-7</v>
      </c>
      <c r="G90" s="3">
        <f t="shared" si="11"/>
        <v>3.999999392026178</v>
      </c>
    </row>
    <row r="91" spans="1:7" x14ac:dyDescent="0.35">
      <c r="A91" s="3">
        <v>8.1</v>
      </c>
      <c r="B91" s="3">
        <f t="shared" si="6"/>
        <v>12.00000007783739</v>
      </c>
      <c r="C91" s="3">
        <f t="shared" si="7"/>
        <v>1.8349065911138496E-7</v>
      </c>
      <c r="D91" s="3">
        <f t="shared" si="9"/>
        <v>1.9999998943467303</v>
      </c>
      <c r="E91" s="3">
        <f t="shared" si="10"/>
        <v>15.800000060797384</v>
      </c>
      <c r="F91" s="3">
        <f t="shared" si="8"/>
        <v>1.0565326968858813E-7</v>
      </c>
      <c r="G91" s="3">
        <f t="shared" si="11"/>
        <v>3.9999994976794477</v>
      </c>
    </row>
    <row r="92" spans="1:7" x14ac:dyDescent="0.35">
      <c r="A92" s="3">
        <v>8.1999999999999993</v>
      </c>
      <c r="B92" s="3">
        <f t="shared" si="6"/>
        <v>12.000000064514012</v>
      </c>
      <c r="C92" s="3">
        <f t="shared" si="7"/>
        <v>1.5181821666487849E-7</v>
      </c>
      <c r="D92" s="3">
        <f t="shared" si="9"/>
        <v>1.9999999126957961</v>
      </c>
      <c r="E92" s="3">
        <f t="shared" si="10"/>
        <v>16.000000050232057</v>
      </c>
      <c r="F92" s="3">
        <f t="shared" si="8"/>
        <v>8.7304203866267471E-8</v>
      </c>
      <c r="G92" s="3">
        <f t="shared" si="11"/>
        <v>3.9999995849836516</v>
      </c>
    </row>
    <row r="93" spans="1:7" x14ac:dyDescent="0.35">
      <c r="A93" s="3">
        <v>8.3000000000000007</v>
      </c>
      <c r="B93" s="3">
        <f t="shared" si="6"/>
        <v>12.000000053153835</v>
      </c>
      <c r="C93" s="3">
        <f t="shared" si="7"/>
        <v>1.2527621784386156E-7</v>
      </c>
      <c r="D93" s="3">
        <f t="shared" si="9"/>
        <v>1.9999999278776177</v>
      </c>
      <c r="E93" s="3">
        <f t="shared" si="10"/>
        <v>16.200000041501635</v>
      </c>
      <c r="F93" s="3">
        <f t="shared" si="8"/>
        <v>7.2122382288597464E-8</v>
      </c>
      <c r="G93" s="3">
        <f t="shared" si="11"/>
        <v>3.9999996571060339</v>
      </c>
    </row>
    <row r="94" spans="1:7" x14ac:dyDescent="0.35">
      <c r="A94" s="3">
        <v>8.4</v>
      </c>
      <c r="B94" s="3">
        <f t="shared" si="6"/>
        <v>12.000000044023789</v>
      </c>
      <c r="C94" s="3">
        <f t="shared" si="7"/>
        <v>1.036185501845921E-7</v>
      </c>
      <c r="D94" s="3">
        <f t="shared" si="9"/>
        <v>1.9999999404052395</v>
      </c>
      <c r="E94" s="3">
        <f t="shared" si="10"/>
        <v>16.400000034289398</v>
      </c>
      <c r="F94" s="3">
        <f t="shared" si="8"/>
        <v>5.9594760459802387E-8</v>
      </c>
      <c r="G94" s="3">
        <f t="shared" si="11"/>
        <v>3.9999997167007946</v>
      </c>
    </row>
    <row r="95" spans="1:7" x14ac:dyDescent="0.35">
      <c r="A95" s="3">
        <v>8.5</v>
      </c>
      <c r="B95" s="3">
        <f t="shared" si="6"/>
        <v>12.000000036294683</v>
      </c>
      <c r="C95" s="3">
        <f t="shared" si="7"/>
        <v>8.5527588566947088E-8</v>
      </c>
      <c r="D95" s="3">
        <f t="shared" si="9"/>
        <v>1.9999999507670945</v>
      </c>
      <c r="E95" s="3">
        <f t="shared" si="10"/>
        <v>16.600000028329923</v>
      </c>
      <c r="F95" s="3">
        <f t="shared" si="8"/>
        <v>4.923290553016102E-8</v>
      </c>
      <c r="G95" s="3">
        <f t="shared" si="11"/>
        <v>3.9999997659337003</v>
      </c>
    </row>
    <row r="96" spans="1:7" x14ac:dyDescent="0.35">
      <c r="A96" s="3">
        <v>8.6</v>
      </c>
      <c r="B96" s="3">
        <f t="shared" si="6"/>
        <v>12.000000030043738</v>
      </c>
      <c r="C96" s="3">
        <f t="shared" si="7"/>
        <v>7.0723885414736287E-8</v>
      </c>
      <c r="D96" s="3">
        <f t="shared" si="9"/>
        <v>1.9999999593198534</v>
      </c>
      <c r="E96" s="3">
        <f t="shared" si="10"/>
        <v>16.800000023406632</v>
      </c>
      <c r="F96" s="3">
        <f t="shared" si="8"/>
        <v>4.0680146584648469E-8</v>
      </c>
      <c r="G96" s="3">
        <f t="shared" si="11"/>
        <v>3.9999998066138467</v>
      </c>
    </row>
    <row r="97" spans="1:7" x14ac:dyDescent="0.35">
      <c r="A97" s="3">
        <v>8.6999999999999993</v>
      </c>
      <c r="B97" s="3">
        <f t="shared" si="6"/>
        <v>12.000000024781187</v>
      </c>
      <c r="C97" s="3">
        <f t="shared" si="7"/>
        <v>5.838894523435556E-8</v>
      </c>
      <c r="D97" s="3">
        <f t="shared" si="9"/>
        <v>1.9999999663922419</v>
      </c>
      <c r="E97" s="3">
        <f t="shared" si="10"/>
        <v>17.000000019338618</v>
      </c>
      <c r="F97" s="3">
        <f t="shared" si="8"/>
        <v>3.3607758131992682E-8</v>
      </c>
      <c r="G97" s="3">
        <f t="shared" si="11"/>
        <v>3.999999840221605</v>
      </c>
    </row>
    <row r="98" spans="1:7" x14ac:dyDescent="0.35">
      <c r="A98" s="3">
        <v>8.8000000000000007</v>
      </c>
      <c r="B98" s="3">
        <f t="shared" si="6"/>
        <v>12.000000020504363</v>
      </c>
      <c r="C98" s="3">
        <f t="shared" si="7"/>
        <v>4.827322541700596E-8</v>
      </c>
      <c r="D98" s="3">
        <f t="shared" si="9"/>
        <v>1.9999999722311363</v>
      </c>
      <c r="E98" s="3">
        <f t="shared" si="10"/>
        <v>17.200000015977842</v>
      </c>
      <c r="F98" s="3">
        <f t="shared" si="8"/>
        <v>2.7768863652966047E-8</v>
      </c>
      <c r="G98" s="3">
        <f t="shared" si="11"/>
        <v>3.9999998679904687</v>
      </c>
    </row>
    <row r="99" spans="1:7" x14ac:dyDescent="0.35">
      <c r="A99" s="3">
        <v>8.9</v>
      </c>
      <c r="B99" s="3">
        <f t="shared" si="6"/>
        <v>12.000000016919145</v>
      </c>
      <c r="C99" s="3">
        <f t="shared" si="7"/>
        <v>3.9860687195414357E-8</v>
      </c>
      <c r="D99" s="3">
        <f t="shared" si="9"/>
        <v>1.9999999770584589</v>
      </c>
      <c r="E99" s="3">
        <f t="shared" si="10"/>
        <v>17.400000013200955</v>
      </c>
      <c r="F99" s="3">
        <f t="shared" si="8"/>
        <v>2.2941541111265451E-8</v>
      </c>
      <c r="G99" s="3">
        <f t="shared" si="11"/>
        <v>3.9999998909320098</v>
      </c>
    </row>
    <row r="100" spans="1:7" x14ac:dyDescent="0.35">
      <c r="A100" s="3">
        <v>9</v>
      </c>
      <c r="B100" s="3">
        <f t="shared" si="6"/>
        <v>12.000000013994532</v>
      </c>
      <c r="C100" s="3">
        <f t="shared" si="7"/>
        <v>3.2950003614473644E-8</v>
      </c>
      <c r="D100" s="3">
        <f t="shared" si="9"/>
        <v>1.9999999810445277</v>
      </c>
      <c r="E100" s="3">
        <f t="shared" si="10"/>
        <v>17.6000000109068</v>
      </c>
      <c r="F100" s="3">
        <f t="shared" si="8"/>
        <v>1.8955472302906173E-8</v>
      </c>
      <c r="G100" s="3">
        <f t="shared" si="11"/>
        <v>3.9999999098874821</v>
      </c>
    </row>
    <row r="101" spans="1:7" x14ac:dyDescent="0.35">
      <c r="A101" s="3">
        <v>9.1</v>
      </c>
      <c r="B101" s="3">
        <f t="shared" si="6"/>
        <v>12.000000011550943</v>
      </c>
      <c r="C101" s="3">
        <f t="shared" si="7"/>
        <v>2.7211415343231238E-8</v>
      </c>
      <c r="D101" s="3">
        <f t="shared" si="9"/>
        <v>1.999999984339528</v>
      </c>
      <c r="E101" s="3">
        <f t="shared" si="10"/>
        <v>17.800000009011253</v>
      </c>
      <c r="F101" s="3">
        <f t="shared" si="8"/>
        <v>1.5660472030276651E-8</v>
      </c>
      <c r="G101" s="3">
        <f t="shared" si="11"/>
        <v>3.9999999255479541</v>
      </c>
    </row>
    <row r="102" spans="1:7" x14ac:dyDescent="0.35">
      <c r="A102" s="3">
        <v>9.1999999999999993</v>
      </c>
      <c r="B102" s="3">
        <f t="shared" si="6"/>
        <v>12.000000009551812</v>
      </c>
      <c r="C102" s="3">
        <f t="shared" si="7"/>
        <v>2.2491143170100258E-8</v>
      </c>
      <c r="D102" s="3">
        <f t="shared" si="9"/>
        <v>1.9999999870606695</v>
      </c>
      <c r="E102" s="3">
        <f t="shared" si="10"/>
        <v>18.000000007445205</v>
      </c>
      <c r="F102" s="3">
        <f t="shared" si="8"/>
        <v>1.2939330495953527E-8</v>
      </c>
      <c r="G102" s="3">
        <f t="shared" si="11"/>
        <v>3.9999999384872846</v>
      </c>
    </row>
    <row r="103" spans="1:7" x14ac:dyDescent="0.35">
      <c r="A103" s="3">
        <v>9.3000000000000007</v>
      </c>
      <c r="B103" s="3">
        <f t="shared" si="6"/>
        <v>12.000000007885747</v>
      </c>
      <c r="C103" s="3">
        <f t="shared" si="7"/>
        <v>1.8575963878220136E-8</v>
      </c>
      <c r="D103" s="3">
        <f t="shared" si="9"/>
        <v>1.9999999893097837</v>
      </c>
      <c r="E103" s="3">
        <f t="shared" si="10"/>
        <v>18.200000006151271</v>
      </c>
      <c r="F103" s="3">
        <f t="shared" si="8"/>
        <v>1.0690216267761343E-8</v>
      </c>
      <c r="G103" s="3">
        <f t="shared" si="11"/>
        <v>3.9999999491775009</v>
      </c>
    </row>
    <row r="104" spans="1:7" x14ac:dyDescent="0.35">
      <c r="A104" s="3">
        <v>9.4</v>
      </c>
      <c r="B104" s="3">
        <f t="shared" si="6"/>
        <v>12.000000006519661</v>
      </c>
      <c r="C104" s="3">
        <f t="shared" si="7"/>
        <v>1.5352281224068065E-8</v>
      </c>
      <c r="D104" s="3">
        <f t="shared" si="9"/>
        <v>1.99999999116738</v>
      </c>
      <c r="E104" s="3">
        <f t="shared" si="10"/>
        <v>18.400000005082248</v>
      </c>
      <c r="F104" s="3">
        <f t="shared" si="8"/>
        <v>8.8326199687571716E-9</v>
      </c>
      <c r="G104" s="3">
        <f t="shared" si="11"/>
        <v>3.9999999580101209</v>
      </c>
    </row>
    <row r="105" spans="1:7" x14ac:dyDescent="0.35">
      <c r="A105" s="3">
        <v>9.5</v>
      </c>
      <c r="B105" s="3">
        <f t="shared" si="6"/>
        <v>12.000000005383416</v>
      </c>
      <c r="C105" s="3">
        <f t="shared" si="7"/>
        <v>1.2680807515152992E-8</v>
      </c>
      <c r="D105" s="3">
        <f t="shared" si="9"/>
        <v>1.9999999927026082</v>
      </c>
      <c r="E105" s="3">
        <f t="shared" si="10"/>
        <v>18.600000004198986</v>
      </c>
      <c r="F105" s="3">
        <f t="shared" si="8"/>
        <v>7.2973918019414441E-9</v>
      </c>
      <c r="G105" s="3">
        <f t="shared" si="11"/>
        <v>3.9999999653075129</v>
      </c>
    </row>
    <row r="106" spans="1:7" x14ac:dyDescent="0.35">
      <c r="A106" s="3">
        <v>9.6</v>
      </c>
      <c r="B106" s="3">
        <f t="shared" si="6"/>
        <v>12.00000000445014</v>
      </c>
      <c r="C106" s="3">
        <f t="shared" si="7"/>
        <v>1.0479450196498874E-8</v>
      </c>
      <c r="D106" s="3">
        <f t="shared" si="9"/>
        <v>1.9999999939706889</v>
      </c>
      <c r="E106" s="3">
        <f t="shared" si="10"/>
        <v>18.800000003469247</v>
      </c>
      <c r="F106" s="3">
        <f t="shared" si="8"/>
        <v>6.0293110504261449E-9</v>
      </c>
      <c r="G106" s="3">
        <f t="shared" si="11"/>
        <v>3.9999999713368242</v>
      </c>
    </row>
    <row r="107" spans="1:7" x14ac:dyDescent="0.35">
      <c r="A107" s="3">
        <v>9.6999999999999993</v>
      </c>
      <c r="B107" s="3">
        <f t="shared" si="6"/>
        <v>12.00000000367506</v>
      </c>
      <c r="C107" s="3">
        <f t="shared" si="7"/>
        <v>8.6564266865707395E-9</v>
      </c>
      <c r="D107" s="3">
        <f t="shared" si="9"/>
        <v>1.999999995018634</v>
      </c>
      <c r="E107" s="3">
        <f t="shared" si="10"/>
        <v>19.000000002866315</v>
      </c>
      <c r="F107" s="3">
        <f t="shared" si="8"/>
        <v>4.9813659863673365E-9</v>
      </c>
      <c r="G107" s="3">
        <f t="shared" si="11"/>
        <v>3.9999999763181902</v>
      </c>
    </row>
    <row r="108" spans="1:7" x14ac:dyDescent="0.35">
      <c r="A108" s="3">
        <v>9.8000000000000007</v>
      </c>
      <c r="B108" s="3">
        <f t="shared" si="6"/>
        <v>12.000000003037592</v>
      </c>
      <c r="C108" s="3">
        <f t="shared" si="7"/>
        <v>7.1533143852775538E-9</v>
      </c>
      <c r="D108" s="3">
        <f t="shared" si="9"/>
        <v>1.9999999958842767</v>
      </c>
      <c r="E108" s="3">
        <f t="shared" si="10"/>
        <v>19.200000002368178</v>
      </c>
      <c r="F108" s="3">
        <f t="shared" si="8"/>
        <v>4.1157233177102626E-9</v>
      </c>
      <c r="G108" s="3">
        <f t="shared" si="11"/>
        <v>3.9999999804339135</v>
      </c>
    </row>
    <row r="109" spans="1:7" x14ac:dyDescent="0.35">
      <c r="A109" s="3">
        <v>9.9</v>
      </c>
      <c r="B109" s="3">
        <f t="shared" si="6"/>
        <v>12.000000002508795</v>
      </c>
      <c r="C109" s="3">
        <f t="shared" si="7"/>
        <v>5.9091860293847276E-9</v>
      </c>
      <c r="D109" s="3">
        <f t="shared" si="9"/>
        <v>1.999999996599608</v>
      </c>
      <c r="E109" s="3">
        <f t="shared" si="10"/>
        <v>19.400000001956606</v>
      </c>
      <c r="F109" s="3">
        <f t="shared" si="8"/>
        <v>3.4003919680003492E-9</v>
      </c>
      <c r="G109" s="3">
        <f t="shared" si="11"/>
        <v>3.9999999838343054</v>
      </c>
    </row>
    <row r="110" spans="1:7" x14ac:dyDescent="0.35">
      <c r="A110" s="3">
        <v>10</v>
      </c>
      <c r="B110" s="3">
        <f t="shared" si="6"/>
        <v>12.000000002073437</v>
      </c>
      <c r="C110" s="3">
        <f t="shared" si="7"/>
        <v>4.8829100762759481E-9</v>
      </c>
      <c r="D110" s="3">
        <f t="shared" si="9"/>
        <v>1.9999999971905267</v>
      </c>
      <c r="E110" s="3">
        <f t="shared" si="10"/>
        <v>19.600000001616568</v>
      </c>
      <c r="F110" s="3">
        <f t="shared" si="8"/>
        <v>2.8094733206529554E-9</v>
      </c>
      <c r="G110" s="3">
        <f t="shared" si="11"/>
        <v>3.999999986643779</v>
      </c>
    </row>
  </sheetData>
  <mergeCells count="3">
    <mergeCell ref="A1:A2"/>
    <mergeCell ref="A3:A4"/>
    <mergeCell ref="D3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PIDtry1</vt:lpstr>
      <vt:lpstr>pidtry2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Jiaming</dc:creator>
  <cp:lastModifiedBy>Xu, Jiaming</cp:lastModifiedBy>
  <dcterms:created xsi:type="dcterms:W3CDTF">2025-04-26T11:35:18Z</dcterms:created>
  <dcterms:modified xsi:type="dcterms:W3CDTF">2025-04-27T07:35:20Z</dcterms:modified>
</cp:coreProperties>
</file>